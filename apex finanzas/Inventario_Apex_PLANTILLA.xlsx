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Alerta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Guía producto nuevo" sheetId="5" state="visible" r:id="rId5"/>
  </sheets>
  <definedNames>
    <definedName name="_xlnm._FilterDatabase" localSheetId="0" hidden="1">'Inventario'!$A$1:$S$31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88888"/>
    </font>
    <font>
      <b val="1"/>
      <color rgb="00FFFFFF"/>
    </font>
    <font>
      <b val="1"/>
    </font>
    <font>
      <b val="1"/>
      <color rgb="001F4E79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5B5B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1" fontId="0" fillId="4" borderId="1" applyProtection="1" pivotButton="0" quotePrefix="0" xfId="0">
      <protection locked="0" hidden="0"/>
    </xf>
    <xf numFmtId="164" fontId="0" fillId="0" borderId="1" applyProtection="1" pivotButton="0" quotePrefix="0" xfId="0">
      <protection locked="0" hidden="0"/>
    </xf>
    <xf numFmtId="164" fontId="0" fillId="0" borderId="1" pivotButton="0" quotePrefix="0" xfId="0"/>
    <xf numFmtId="0" fontId="3" fillId="2" borderId="0" pivotButton="0" quotePrefix="0" xfId="0"/>
    <xf numFmtId="0" fontId="3" fillId="5" borderId="0" pivotButton="0" quotePrefix="0" xfId="0"/>
    <xf numFmtId="0" fontId="4" fillId="0" borderId="0" pivotButton="0" quotePrefix="0" xfId="0"/>
    <xf numFmtId="1" fontId="0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4" fillId="6" borderId="0" pivotButton="0" quotePrefix="0" xfId="0"/>
    <xf numFmtId="164" fontId="4" fillId="6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outlineLevel="1" width="16" customWidth="1" min="16" max="16"/>
    <col outlineLevel="1" width="16" customWidth="1" min="17" max="17"/>
    <col outlineLevel="1" width="16" customWidth="1" min="18" max="18"/>
    <col outlineLevel="1" width="16" customWidth="1" min="19" max="19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MARCA</t>
        </is>
      </c>
      <c r="D1" s="1" t="inlineStr">
        <is>
          <t>STOCK (piezas)</t>
        </is>
      </c>
      <c r="E1" s="1" t="inlineStr">
        <is>
          <t>Catálogo / pieza</t>
        </is>
      </c>
      <c r="F1" s="1" t="inlineStr">
        <is>
          <t>Total catálogo</t>
        </is>
      </c>
      <c r="G1" s="1" t="inlineStr">
        <is>
          <t>Facturado / pieza</t>
        </is>
      </c>
      <c r="H1" s="1" t="inlineStr">
        <is>
          <t>Total pagado factura (IVA)</t>
        </is>
      </c>
      <c r="I1" s="1" t="inlineStr">
        <is>
          <t>Precio Taller / pieza</t>
        </is>
      </c>
      <c r="J1" s="1" t="inlineStr">
        <is>
          <t>Precio Público / pieza</t>
        </is>
      </c>
      <c r="K1" s="1" t="inlineStr">
        <is>
          <t>Venta total Taller</t>
        </is>
      </c>
      <c r="L1" s="1" t="inlineStr">
        <is>
          <t>Venta total Público</t>
        </is>
      </c>
      <c r="M1" s="1" t="inlineStr">
        <is>
          <t>Costo real total</t>
        </is>
      </c>
      <c r="N1" s="1" t="inlineStr">
        <is>
          <t>Ganancia total Taller</t>
        </is>
      </c>
      <c r="O1" s="1" t="inlineStr">
        <is>
          <t>Ganancia total Público</t>
        </is>
      </c>
      <c r="P1" s="2" t="inlineStr">
        <is>
          <t>Ahorro mayorista total (reinversión)</t>
        </is>
      </c>
      <c r="Q1" s="2" t="inlineStr">
        <is>
          <t>Fondo logística total ($10k/pza)</t>
        </is>
      </c>
      <c r="R1" s="2" t="inlineStr">
        <is>
          <t>Ganancia neta Taller (sin domicilio)</t>
        </is>
      </c>
      <c r="S1" s="2" t="inlineStr">
        <is>
          <t>Ganancia neta Público (sin domicilio)</t>
        </is>
      </c>
    </row>
    <row r="2">
      <c r="A2" s="3" t="inlineStr">
        <is>
          <t>← NUEVO</t>
        </is>
      </c>
      <c r="B2" s="4" t="n"/>
      <c r="C2" s="4" t="n"/>
      <c r="D2" s="5" t="n">
        <v>0</v>
      </c>
      <c r="E2" s="6" t="n"/>
      <c r="F2" s="7">
        <f>D2*E2</f>
        <v/>
      </c>
      <c r="G2" s="6" t="n"/>
      <c r="H2" s="7">
        <f>ROUND(D2*G2*1.19,0)</f>
        <v/>
      </c>
      <c r="I2" s="6" t="n"/>
      <c r="J2" s="6" t="n"/>
      <c r="K2" s="7">
        <f>D2*I2</f>
        <v/>
      </c>
      <c r="L2" s="7">
        <f>D2*J2</f>
        <v/>
      </c>
      <c r="M2" s="7">
        <f>H2+Q2</f>
        <v/>
      </c>
      <c r="N2" s="7">
        <f>K2-M2</f>
        <v/>
      </c>
      <c r="O2" s="7">
        <f>L2-M2</f>
        <v/>
      </c>
      <c r="P2" s="7">
        <f>ROUND((E2-G2)*D2,0)</f>
        <v/>
      </c>
      <c r="Q2" s="7">
        <f>D2*10000</f>
        <v/>
      </c>
      <c r="R2" s="7">
        <f>K2-H2</f>
        <v/>
      </c>
      <c r="S2" s="7">
        <f>L2-H2</f>
        <v/>
      </c>
    </row>
    <row r="3">
      <c r="A3" s="4" t="n"/>
      <c r="B3" s="4" t="n"/>
      <c r="C3" s="4" t="n"/>
      <c r="D3" s="5" t="n">
        <v>0</v>
      </c>
      <c r="E3" s="6" t="n"/>
      <c r="F3" s="7">
        <f>D3*E3</f>
        <v/>
      </c>
      <c r="G3" s="6" t="n"/>
      <c r="H3" s="7">
        <f>ROUND(D3*G3*1.19,0)</f>
        <v/>
      </c>
      <c r="I3" s="6" t="n"/>
      <c r="J3" s="6" t="n"/>
      <c r="K3" s="7">
        <f>D3*I3</f>
        <v/>
      </c>
      <c r="L3" s="7">
        <f>D3*J3</f>
        <v/>
      </c>
      <c r="M3" s="7">
        <f>H3+Q3</f>
        <v/>
      </c>
      <c r="N3" s="7">
        <f>K3-M3</f>
        <v/>
      </c>
      <c r="O3" s="7">
        <f>L3-M3</f>
        <v/>
      </c>
      <c r="P3" s="7">
        <f>ROUND((E3-G3)*D3,0)</f>
        <v/>
      </c>
      <c r="Q3" s="7">
        <f>D3*10000</f>
        <v/>
      </c>
      <c r="R3" s="7">
        <f>K3-H3</f>
        <v/>
      </c>
      <c r="S3" s="7">
        <f>L3-H3</f>
        <v/>
      </c>
    </row>
    <row r="4">
      <c r="A4" s="4" t="n"/>
      <c r="B4" s="4" t="n"/>
      <c r="C4" s="4" t="n"/>
      <c r="D4" s="5" t="n">
        <v>0</v>
      </c>
      <c r="E4" s="6" t="n"/>
      <c r="F4" s="7">
        <f>D4*E4</f>
        <v/>
      </c>
      <c r="G4" s="6" t="n"/>
      <c r="H4" s="7">
        <f>ROUND(D4*G4*1.19,0)</f>
        <v/>
      </c>
      <c r="I4" s="6" t="n"/>
      <c r="J4" s="6" t="n"/>
      <c r="K4" s="7">
        <f>D4*I4</f>
        <v/>
      </c>
      <c r="L4" s="7">
        <f>D4*J4</f>
        <v/>
      </c>
      <c r="M4" s="7">
        <f>H4+Q4</f>
        <v/>
      </c>
      <c r="N4" s="7">
        <f>K4-M4</f>
        <v/>
      </c>
      <c r="O4" s="7">
        <f>L4-M4</f>
        <v/>
      </c>
      <c r="P4" s="7">
        <f>ROUND((E4-G4)*D4,0)</f>
        <v/>
      </c>
      <c r="Q4" s="7">
        <f>D4*10000</f>
        <v/>
      </c>
      <c r="R4" s="7">
        <f>K4-H4</f>
        <v/>
      </c>
      <c r="S4" s="7">
        <f>L4-H4</f>
        <v/>
      </c>
    </row>
    <row r="5">
      <c r="A5" s="4" t="n"/>
      <c r="B5" s="4" t="n"/>
      <c r="C5" s="4" t="n"/>
      <c r="D5" s="5" t="n">
        <v>0</v>
      </c>
      <c r="E5" s="6" t="n"/>
      <c r="F5" s="7">
        <f>D5*E5</f>
        <v/>
      </c>
      <c r="G5" s="6" t="n"/>
      <c r="H5" s="7">
        <f>ROUND(D5*G5*1.19,0)</f>
        <v/>
      </c>
      <c r="I5" s="6" t="n"/>
      <c r="J5" s="6" t="n"/>
      <c r="K5" s="7">
        <f>D5*I5</f>
        <v/>
      </c>
      <c r="L5" s="7">
        <f>D5*J5</f>
        <v/>
      </c>
      <c r="M5" s="7">
        <f>H5+Q5</f>
        <v/>
      </c>
      <c r="N5" s="7">
        <f>K5-M5</f>
        <v/>
      </c>
      <c r="O5" s="7">
        <f>L5-M5</f>
        <v/>
      </c>
      <c r="P5" s="7">
        <f>ROUND((E5-G5)*D5,0)</f>
        <v/>
      </c>
      <c r="Q5" s="7">
        <f>D5*10000</f>
        <v/>
      </c>
      <c r="R5" s="7">
        <f>K5-H5</f>
        <v/>
      </c>
      <c r="S5" s="7">
        <f>L5-H5</f>
        <v/>
      </c>
    </row>
    <row r="6">
      <c r="A6" s="4" t="n"/>
      <c r="B6" s="4" t="n"/>
      <c r="C6" s="4" t="n"/>
      <c r="D6" s="5" t="n">
        <v>0</v>
      </c>
      <c r="E6" s="6" t="n"/>
      <c r="F6" s="7">
        <f>D6*E6</f>
        <v/>
      </c>
      <c r="G6" s="6" t="n"/>
      <c r="H6" s="7">
        <f>ROUND(D6*G6*1.19,0)</f>
        <v/>
      </c>
      <c r="I6" s="6" t="n"/>
      <c r="J6" s="6" t="n"/>
      <c r="K6" s="7">
        <f>D6*I6</f>
        <v/>
      </c>
      <c r="L6" s="7">
        <f>D6*J6</f>
        <v/>
      </c>
      <c r="M6" s="7">
        <f>H6+Q6</f>
        <v/>
      </c>
      <c r="N6" s="7">
        <f>K6-M6</f>
        <v/>
      </c>
      <c r="O6" s="7">
        <f>L6-M6</f>
        <v/>
      </c>
      <c r="P6" s="7">
        <f>ROUND((E6-G6)*D6,0)</f>
        <v/>
      </c>
      <c r="Q6" s="7">
        <f>D6*10000</f>
        <v/>
      </c>
      <c r="R6" s="7">
        <f>K6-H6</f>
        <v/>
      </c>
      <c r="S6" s="7">
        <f>L6-H6</f>
        <v/>
      </c>
    </row>
    <row r="7">
      <c r="A7" s="4" t="n"/>
      <c r="B7" s="4" t="n"/>
      <c r="C7" s="4" t="n"/>
      <c r="D7" s="5" t="n">
        <v>0</v>
      </c>
      <c r="E7" s="6" t="n"/>
      <c r="F7" s="7">
        <f>D7*E7</f>
        <v/>
      </c>
      <c r="G7" s="6" t="n"/>
      <c r="H7" s="7">
        <f>ROUND(D7*G7*1.19,0)</f>
        <v/>
      </c>
      <c r="I7" s="6" t="n"/>
      <c r="J7" s="6" t="n"/>
      <c r="K7" s="7">
        <f>D7*I7</f>
        <v/>
      </c>
      <c r="L7" s="7">
        <f>D7*J7</f>
        <v/>
      </c>
      <c r="M7" s="7">
        <f>H7+Q7</f>
        <v/>
      </c>
      <c r="N7" s="7">
        <f>K7-M7</f>
        <v/>
      </c>
      <c r="O7" s="7">
        <f>L7-M7</f>
        <v/>
      </c>
      <c r="P7" s="7">
        <f>ROUND((E7-G7)*D7,0)</f>
        <v/>
      </c>
      <c r="Q7" s="7">
        <f>D7*10000</f>
        <v/>
      </c>
      <c r="R7" s="7">
        <f>K7-H7</f>
        <v/>
      </c>
      <c r="S7" s="7">
        <f>L7-H7</f>
        <v/>
      </c>
    </row>
    <row r="8">
      <c r="A8" s="4" t="n"/>
      <c r="B8" s="4" t="n"/>
      <c r="C8" s="4" t="n"/>
      <c r="D8" s="5" t="n">
        <v>0</v>
      </c>
      <c r="E8" s="6" t="n"/>
      <c r="F8" s="7">
        <f>D8*E8</f>
        <v/>
      </c>
      <c r="G8" s="6" t="n"/>
      <c r="H8" s="7">
        <f>ROUND(D8*G8*1.19,0)</f>
        <v/>
      </c>
      <c r="I8" s="6" t="n"/>
      <c r="J8" s="6" t="n"/>
      <c r="K8" s="7">
        <f>D8*I8</f>
        <v/>
      </c>
      <c r="L8" s="7">
        <f>D8*J8</f>
        <v/>
      </c>
      <c r="M8" s="7">
        <f>H8+Q8</f>
        <v/>
      </c>
      <c r="N8" s="7">
        <f>K8-M8</f>
        <v/>
      </c>
      <c r="O8" s="7">
        <f>L8-M8</f>
        <v/>
      </c>
      <c r="P8" s="7">
        <f>ROUND((E8-G8)*D8,0)</f>
        <v/>
      </c>
      <c r="Q8" s="7">
        <f>D8*10000</f>
        <v/>
      </c>
      <c r="R8" s="7">
        <f>K8-H8</f>
        <v/>
      </c>
      <c r="S8" s="7">
        <f>L8-H8</f>
        <v/>
      </c>
    </row>
    <row r="9">
      <c r="A9" s="4" t="n"/>
      <c r="B9" s="4" t="n"/>
      <c r="C9" s="4" t="n"/>
      <c r="D9" s="5" t="n">
        <v>0</v>
      </c>
      <c r="E9" s="6" t="n"/>
      <c r="F9" s="7">
        <f>D9*E9</f>
        <v/>
      </c>
      <c r="G9" s="6" t="n"/>
      <c r="H9" s="7">
        <f>ROUND(D9*G9*1.19,0)</f>
        <v/>
      </c>
      <c r="I9" s="6" t="n"/>
      <c r="J9" s="6" t="n"/>
      <c r="K9" s="7">
        <f>D9*I9</f>
        <v/>
      </c>
      <c r="L9" s="7">
        <f>D9*J9</f>
        <v/>
      </c>
      <c r="M9" s="7">
        <f>H9+Q9</f>
        <v/>
      </c>
      <c r="N9" s="7">
        <f>K9-M9</f>
        <v/>
      </c>
      <c r="O9" s="7">
        <f>L9-M9</f>
        <v/>
      </c>
      <c r="P9" s="7">
        <f>ROUND((E9-G9)*D9,0)</f>
        <v/>
      </c>
      <c r="Q9" s="7">
        <f>D9*10000</f>
        <v/>
      </c>
      <c r="R9" s="7">
        <f>K9-H9</f>
        <v/>
      </c>
      <c r="S9" s="7">
        <f>L9-H9</f>
        <v/>
      </c>
    </row>
    <row r="10">
      <c r="A10" s="4" t="n"/>
      <c r="B10" s="4" t="n"/>
      <c r="C10" s="4" t="n"/>
      <c r="D10" s="5" t="n">
        <v>0</v>
      </c>
      <c r="E10" s="6" t="n"/>
      <c r="F10" s="7">
        <f>D10*E10</f>
        <v/>
      </c>
      <c r="G10" s="6" t="n"/>
      <c r="H10" s="7">
        <f>ROUND(D10*G10*1.19,0)</f>
        <v/>
      </c>
      <c r="I10" s="6" t="n"/>
      <c r="J10" s="6" t="n"/>
      <c r="K10" s="7">
        <f>D10*I10</f>
        <v/>
      </c>
      <c r="L10" s="7">
        <f>D10*J10</f>
        <v/>
      </c>
      <c r="M10" s="7">
        <f>H10+Q10</f>
        <v/>
      </c>
      <c r="N10" s="7">
        <f>K10-M10</f>
        <v/>
      </c>
      <c r="O10" s="7">
        <f>L10-M10</f>
        <v/>
      </c>
      <c r="P10" s="7">
        <f>ROUND((E10-G10)*D10,0)</f>
        <v/>
      </c>
      <c r="Q10" s="7">
        <f>D10*10000</f>
        <v/>
      </c>
      <c r="R10" s="7">
        <f>K10-H10</f>
        <v/>
      </c>
      <c r="S10" s="7">
        <f>L10-H10</f>
        <v/>
      </c>
    </row>
    <row r="11">
      <c r="A11" s="4" t="n"/>
      <c r="B11" s="4" t="n"/>
      <c r="C11" s="4" t="n"/>
      <c r="D11" s="5" t="n">
        <v>0</v>
      </c>
      <c r="E11" s="6" t="n"/>
      <c r="F11" s="7">
        <f>D11*E11</f>
        <v/>
      </c>
      <c r="G11" s="6" t="n"/>
      <c r="H11" s="7">
        <f>ROUND(D11*G11*1.19,0)</f>
        <v/>
      </c>
      <c r="I11" s="6" t="n"/>
      <c r="J11" s="6" t="n"/>
      <c r="K11" s="7">
        <f>D11*I11</f>
        <v/>
      </c>
      <c r="L11" s="7">
        <f>D11*J11</f>
        <v/>
      </c>
      <c r="M11" s="7">
        <f>H11+Q11</f>
        <v/>
      </c>
      <c r="N11" s="7">
        <f>K11-M11</f>
        <v/>
      </c>
      <c r="O11" s="7">
        <f>L11-M11</f>
        <v/>
      </c>
      <c r="P11" s="7">
        <f>ROUND((E11-G11)*D11,0)</f>
        <v/>
      </c>
      <c r="Q11" s="7">
        <f>D11*10000</f>
        <v/>
      </c>
      <c r="R11" s="7">
        <f>K11-H11</f>
        <v/>
      </c>
      <c r="S11" s="7">
        <f>L11-H11</f>
        <v/>
      </c>
    </row>
    <row r="12">
      <c r="A12" s="4" t="n"/>
      <c r="B12" s="4" t="n"/>
      <c r="C12" s="4" t="n"/>
      <c r="D12" s="5" t="n">
        <v>0</v>
      </c>
      <c r="E12" s="6" t="n"/>
      <c r="F12" s="7">
        <f>D12*E12</f>
        <v/>
      </c>
      <c r="G12" s="6" t="n"/>
      <c r="H12" s="7">
        <f>ROUND(D12*G12*1.19,0)</f>
        <v/>
      </c>
      <c r="I12" s="6" t="n"/>
      <c r="J12" s="6" t="n"/>
      <c r="K12" s="7">
        <f>D12*I12</f>
        <v/>
      </c>
      <c r="L12" s="7">
        <f>D12*J12</f>
        <v/>
      </c>
      <c r="M12" s="7">
        <f>H12+Q12</f>
        <v/>
      </c>
      <c r="N12" s="7">
        <f>K12-M12</f>
        <v/>
      </c>
      <c r="O12" s="7">
        <f>L12-M12</f>
        <v/>
      </c>
      <c r="P12" s="7">
        <f>ROUND((E12-G12)*D12,0)</f>
        <v/>
      </c>
      <c r="Q12" s="7">
        <f>D12*10000</f>
        <v/>
      </c>
      <c r="R12" s="7">
        <f>K12-H12</f>
        <v/>
      </c>
      <c r="S12" s="7">
        <f>L12-H12</f>
        <v/>
      </c>
    </row>
    <row r="13">
      <c r="A13" s="4" t="n"/>
      <c r="B13" s="4" t="n"/>
      <c r="C13" s="4" t="n"/>
      <c r="D13" s="5" t="n">
        <v>0</v>
      </c>
      <c r="E13" s="6" t="n"/>
      <c r="F13" s="7">
        <f>D13*E13</f>
        <v/>
      </c>
      <c r="G13" s="6" t="n"/>
      <c r="H13" s="7">
        <f>ROUND(D13*G13*1.19,0)</f>
        <v/>
      </c>
      <c r="I13" s="6" t="n"/>
      <c r="J13" s="6" t="n"/>
      <c r="K13" s="7">
        <f>D13*I13</f>
        <v/>
      </c>
      <c r="L13" s="7">
        <f>D13*J13</f>
        <v/>
      </c>
      <c r="M13" s="7">
        <f>H13+Q13</f>
        <v/>
      </c>
      <c r="N13" s="7">
        <f>K13-M13</f>
        <v/>
      </c>
      <c r="O13" s="7">
        <f>L13-M13</f>
        <v/>
      </c>
      <c r="P13" s="7">
        <f>ROUND((E13-G13)*D13,0)</f>
        <v/>
      </c>
      <c r="Q13" s="7">
        <f>D13*10000</f>
        <v/>
      </c>
      <c r="R13" s="7">
        <f>K13-H13</f>
        <v/>
      </c>
      <c r="S13" s="7">
        <f>L13-H13</f>
        <v/>
      </c>
    </row>
    <row r="14">
      <c r="A14" s="4" t="n"/>
      <c r="B14" s="4" t="n"/>
      <c r="C14" s="4" t="n"/>
      <c r="D14" s="5" t="n">
        <v>0</v>
      </c>
      <c r="E14" s="6" t="n"/>
      <c r="F14" s="7">
        <f>D14*E14</f>
        <v/>
      </c>
      <c r="G14" s="6" t="n"/>
      <c r="H14" s="7">
        <f>ROUND(D14*G14*1.19,0)</f>
        <v/>
      </c>
      <c r="I14" s="6" t="n"/>
      <c r="J14" s="6" t="n"/>
      <c r="K14" s="7">
        <f>D14*I14</f>
        <v/>
      </c>
      <c r="L14" s="7">
        <f>D14*J14</f>
        <v/>
      </c>
      <c r="M14" s="7">
        <f>H14+Q14</f>
        <v/>
      </c>
      <c r="N14" s="7">
        <f>K14-M14</f>
        <v/>
      </c>
      <c r="O14" s="7">
        <f>L14-M14</f>
        <v/>
      </c>
      <c r="P14" s="7">
        <f>ROUND((E14-G14)*D14,0)</f>
        <v/>
      </c>
      <c r="Q14" s="7">
        <f>D14*10000</f>
        <v/>
      </c>
      <c r="R14" s="7">
        <f>K14-H14</f>
        <v/>
      </c>
      <c r="S14" s="7">
        <f>L14-H14</f>
        <v/>
      </c>
    </row>
    <row r="15">
      <c r="A15" s="4" t="n"/>
      <c r="B15" s="4" t="n"/>
      <c r="C15" s="4" t="n"/>
      <c r="D15" s="5" t="n">
        <v>0</v>
      </c>
      <c r="E15" s="6" t="n"/>
      <c r="F15" s="7">
        <f>D15*E15</f>
        <v/>
      </c>
      <c r="G15" s="6" t="n"/>
      <c r="H15" s="7">
        <f>ROUND(D15*G15*1.19,0)</f>
        <v/>
      </c>
      <c r="I15" s="6" t="n"/>
      <c r="J15" s="6" t="n"/>
      <c r="K15" s="7">
        <f>D15*I15</f>
        <v/>
      </c>
      <c r="L15" s="7">
        <f>D15*J15</f>
        <v/>
      </c>
      <c r="M15" s="7">
        <f>H15+Q15</f>
        <v/>
      </c>
      <c r="N15" s="7">
        <f>K15-M15</f>
        <v/>
      </c>
      <c r="O15" s="7">
        <f>L15-M15</f>
        <v/>
      </c>
      <c r="P15" s="7">
        <f>ROUND((E15-G15)*D15,0)</f>
        <v/>
      </c>
      <c r="Q15" s="7">
        <f>D15*10000</f>
        <v/>
      </c>
      <c r="R15" s="7">
        <f>K15-H15</f>
        <v/>
      </c>
      <c r="S15" s="7">
        <f>L15-H15</f>
        <v/>
      </c>
    </row>
    <row r="16">
      <c r="A16" s="4" t="n"/>
      <c r="B16" s="4" t="n"/>
      <c r="C16" s="4" t="n"/>
      <c r="D16" s="5" t="n">
        <v>0</v>
      </c>
      <c r="E16" s="6" t="n"/>
      <c r="F16" s="7">
        <f>D16*E16</f>
        <v/>
      </c>
      <c r="G16" s="6" t="n"/>
      <c r="H16" s="7">
        <f>ROUND(D16*G16*1.19,0)</f>
        <v/>
      </c>
      <c r="I16" s="6" t="n"/>
      <c r="J16" s="6" t="n"/>
      <c r="K16" s="7">
        <f>D16*I16</f>
        <v/>
      </c>
      <c r="L16" s="7">
        <f>D16*J16</f>
        <v/>
      </c>
      <c r="M16" s="7">
        <f>H16+Q16</f>
        <v/>
      </c>
      <c r="N16" s="7">
        <f>K16-M16</f>
        <v/>
      </c>
      <c r="O16" s="7">
        <f>L16-M16</f>
        <v/>
      </c>
      <c r="P16" s="7">
        <f>ROUND((E16-G16)*D16,0)</f>
        <v/>
      </c>
      <c r="Q16" s="7">
        <f>D16*10000</f>
        <v/>
      </c>
      <c r="R16" s="7">
        <f>K16-H16</f>
        <v/>
      </c>
      <c r="S16" s="7">
        <f>L16-H16</f>
        <v/>
      </c>
    </row>
    <row r="17">
      <c r="A17" s="4" t="n"/>
      <c r="B17" s="4" t="n"/>
      <c r="C17" s="4" t="n"/>
      <c r="D17" s="5" t="n">
        <v>0</v>
      </c>
      <c r="E17" s="6" t="n"/>
      <c r="F17" s="7">
        <f>D17*E17</f>
        <v/>
      </c>
      <c r="G17" s="6" t="n"/>
      <c r="H17" s="7">
        <f>ROUND(D17*G17*1.19,0)</f>
        <v/>
      </c>
      <c r="I17" s="6" t="n"/>
      <c r="J17" s="6" t="n"/>
      <c r="K17" s="7">
        <f>D17*I17</f>
        <v/>
      </c>
      <c r="L17" s="7">
        <f>D17*J17</f>
        <v/>
      </c>
      <c r="M17" s="7">
        <f>H17+Q17</f>
        <v/>
      </c>
      <c r="N17" s="7">
        <f>K17-M17</f>
        <v/>
      </c>
      <c r="O17" s="7">
        <f>L17-M17</f>
        <v/>
      </c>
      <c r="P17" s="7">
        <f>ROUND((E17-G17)*D17,0)</f>
        <v/>
      </c>
      <c r="Q17" s="7">
        <f>D17*10000</f>
        <v/>
      </c>
      <c r="R17" s="7">
        <f>K17-H17</f>
        <v/>
      </c>
      <c r="S17" s="7">
        <f>L17-H17</f>
        <v/>
      </c>
    </row>
    <row r="18">
      <c r="A18" s="4" t="n"/>
      <c r="B18" s="4" t="n"/>
      <c r="C18" s="4" t="n"/>
      <c r="D18" s="5" t="n">
        <v>0</v>
      </c>
      <c r="E18" s="6" t="n"/>
      <c r="F18" s="7">
        <f>D18*E18</f>
        <v/>
      </c>
      <c r="G18" s="6" t="n"/>
      <c r="H18" s="7">
        <f>ROUND(D18*G18*1.19,0)</f>
        <v/>
      </c>
      <c r="I18" s="6" t="n"/>
      <c r="J18" s="6" t="n"/>
      <c r="K18" s="7">
        <f>D18*I18</f>
        <v/>
      </c>
      <c r="L18" s="7">
        <f>D18*J18</f>
        <v/>
      </c>
      <c r="M18" s="7">
        <f>H18+Q18</f>
        <v/>
      </c>
      <c r="N18" s="7">
        <f>K18-M18</f>
        <v/>
      </c>
      <c r="O18" s="7">
        <f>L18-M18</f>
        <v/>
      </c>
      <c r="P18" s="7">
        <f>ROUND((E18-G18)*D18,0)</f>
        <v/>
      </c>
      <c r="Q18" s="7">
        <f>D18*10000</f>
        <v/>
      </c>
      <c r="R18" s="7">
        <f>K18-H18</f>
        <v/>
      </c>
      <c r="S18" s="7">
        <f>L18-H18</f>
        <v/>
      </c>
    </row>
    <row r="19">
      <c r="A19" s="4" t="n"/>
      <c r="B19" s="4" t="n"/>
      <c r="C19" s="4" t="n"/>
      <c r="D19" s="5" t="n">
        <v>0</v>
      </c>
      <c r="E19" s="6" t="n"/>
      <c r="F19" s="7">
        <f>D19*E19</f>
        <v/>
      </c>
      <c r="G19" s="6" t="n"/>
      <c r="H19" s="7">
        <f>ROUND(D19*G19*1.19,0)</f>
        <v/>
      </c>
      <c r="I19" s="6" t="n"/>
      <c r="J19" s="6" t="n"/>
      <c r="K19" s="7">
        <f>D19*I19</f>
        <v/>
      </c>
      <c r="L19" s="7">
        <f>D19*J19</f>
        <v/>
      </c>
      <c r="M19" s="7">
        <f>H19+Q19</f>
        <v/>
      </c>
      <c r="N19" s="7">
        <f>K19-M19</f>
        <v/>
      </c>
      <c r="O19" s="7">
        <f>L19-M19</f>
        <v/>
      </c>
      <c r="P19" s="7">
        <f>ROUND((E19-G19)*D19,0)</f>
        <v/>
      </c>
      <c r="Q19" s="7">
        <f>D19*10000</f>
        <v/>
      </c>
      <c r="R19" s="7">
        <f>K19-H19</f>
        <v/>
      </c>
      <c r="S19" s="7">
        <f>L19-H19</f>
        <v/>
      </c>
    </row>
    <row r="20">
      <c r="A20" s="4" t="n"/>
      <c r="B20" s="4" t="n"/>
      <c r="C20" s="4" t="n"/>
      <c r="D20" s="5" t="n">
        <v>0</v>
      </c>
      <c r="E20" s="6" t="n"/>
      <c r="F20" s="7">
        <f>D20*E20</f>
        <v/>
      </c>
      <c r="G20" s="6" t="n"/>
      <c r="H20" s="7">
        <f>ROUND(D20*G20*1.19,0)</f>
        <v/>
      </c>
      <c r="I20" s="6" t="n"/>
      <c r="J20" s="6" t="n"/>
      <c r="K20" s="7">
        <f>D20*I20</f>
        <v/>
      </c>
      <c r="L20" s="7">
        <f>D20*J20</f>
        <v/>
      </c>
      <c r="M20" s="7">
        <f>H20+Q20</f>
        <v/>
      </c>
      <c r="N20" s="7">
        <f>K20-M20</f>
        <v/>
      </c>
      <c r="O20" s="7">
        <f>L20-M20</f>
        <v/>
      </c>
      <c r="P20" s="7">
        <f>ROUND((E20-G20)*D20,0)</f>
        <v/>
      </c>
      <c r="Q20" s="7">
        <f>D20*10000</f>
        <v/>
      </c>
      <c r="R20" s="7">
        <f>K20-H20</f>
        <v/>
      </c>
      <c r="S20" s="7">
        <f>L20-H20</f>
        <v/>
      </c>
    </row>
    <row r="21">
      <c r="A21" s="4" t="n"/>
      <c r="B21" s="4" t="n"/>
      <c r="C21" s="4" t="n"/>
      <c r="D21" s="5" t="n">
        <v>0</v>
      </c>
      <c r="E21" s="6" t="n"/>
      <c r="F21" s="7">
        <f>D21*E21</f>
        <v/>
      </c>
      <c r="G21" s="6" t="n"/>
      <c r="H21" s="7">
        <f>ROUND(D21*G21*1.19,0)</f>
        <v/>
      </c>
      <c r="I21" s="6" t="n"/>
      <c r="J21" s="6" t="n"/>
      <c r="K21" s="7">
        <f>D21*I21</f>
        <v/>
      </c>
      <c r="L21" s="7">
        <f>D21*J21</f>
        <v/>
      </c>
      <c r="M21" s="7">
        <f>H21+Q21</f>
        <v/>
      </c>
      <c r="N21" s="7">
        <f>K21-M21</f>
        <v/>
      </c>
      <c r="O21" s="7">
        <f>L21-M21</f>
        <v/>
      </c>
      <c r="P21" s="7">
        <f>ROUND((E21-G21)*D21,0)</f>
        <v/>
      </c>
      <c r="Q21" s="7">
        <f>D21*10000</f>
        <v/>
      </c>
      <c r="R21" s="7">
        <f>K21-H21</f>
        <v/>
      </c>
      <c r="S21" s="7">
        <f>L21-H21</f>
        <v/>
      </c>
    </row>
    <row r="22">
      <c r="A22" s="4" t="n"/>
      <c r="B22" s="4" t="n"/>
      <c r="C22" s="4" t="n"/>
      <c r="D22" s="5" t="n">
        <v>0</v>
      </c>
      <c r="E22" s="6" t="n"/>
      <c r="F22" s="7">
        <f>D22*E22</f>
        <v/>
      </c>
      <c r="G22" s="6" t="n"/>
      <c r="H22" s="7">
        <f>ROUND(D22*G22*1.19,0)</f>
        <v/>
      </c>
      <c r="I22" s="6" t="n"/>
      <c r="J22" s="6" t="n"/>
      <c r="K22" s="7">
        <f>D22*I22</f>
        <v/>
      </c>
      <c r="L22" s="7">
        <f>D22*J22</f>
        <v/>
      </c>
      <c r="M22" s="7">
        <f>H22+Q22</f>
        <v/>
      </c>
      <c r="N22" s="7">
        <f>K22-M22</f>
        <v/>
      </c>
      <c r="O22" s="7">
        <f>L22-M22</f>
        <v/>
      </c>
      <c r="P22" s="7">
        <f>ROUND((E22-G22)*D22,0)</f>
        <v/>
      </c>
      <c r="Q22" s="7">
        <f>D22*10000</f>
        <v/>
      </c>
      <c r="R22" s="7">
        <f>K22-H22</f>
        <v/>
      </c>
      <c r="S22" s="7">
        <f>L22-H22</f>
        <v/>
      </c>
    </row>
    <row r="23">
      <c r="A23" s="4" t="n"/>
      <c r="B23" s="4" t="n"/>
      <c r="C23" s="4" t="n"/>
      <c r="D23" s="5" t="n">
        <v>0</v>
      </c>
      <c r="E23" s="6" t="n"/>
      <c r="F23" s="7">
        <f>D23*E23</f>
        <v/>
      </c>
      <c r="G23" s="6" t="n"/>
      <c r="H23" s="7">
        <f>ROUND(D23*G23*1.19,0)</f>
        <v/>
      </c>
      <c r="I23" s="6" t="n"/>
      <c r="J23" s="6" t="n"/>
      <c r="K23" s="7">
        <f>D23*I23</f>
        <v/>
      </c>
      <c r="L23" s="7">
        <f>D23*J23</f>
        <v/>
      </c>
      <c r="M23" s="7">
        <f>H23+Q23</f>
        <v/>
      </c>
      <c r="N23" s="7">
        <f>K23-M23</f>
        <v/>
      </c>
      <c r="O23" s="7">
        <f>L23-M23</f>
        <v/>
      </c>
      <c r="P23" s="7">
        <f>ROUND((E23-G23)*D23,0)</f>
        <v/>
      </c>
      <c r="Q23" s="7">
        <f>D23*10000</f>
        <v/>
      </c>
      <c r="R23" s="7">
        <f>K23-H23</f>
        <v/>
      </c>
      <c r="S23" s="7">
        <f>L23-H23</f>
        <v/>
      </c>
    </row>
    <row r="24">
      <c r="A24" s="4" t="n"/>
      <c r="B24" s="4" t="n"/>
      <c r="C24" s="4" t="n"/>
      <c r="D24" s="5" t="n">
        <v>0</v>
      </c>
      <c r="E24" s="6" t="n"/>
      <c r="F24" s="7">
        <f>D24*E24</f>
        <v/>
      </c>
      <c r="G24" s="6" t="n"/>
      <c r="H24" s="7">
        <f>ROUND(D24*G24*1.19,0)</f>
        <v/>
      </c>
      <c r="I24" s="6" t="n"/>
      <c r="J24" s="6" t="n"/>
      <c r="K24" s="7">
        <f>D24*I24</f>
        <v/>
      </c>
      <c r="L24" s="7">
        <f>D24*J24</f>
        <v/>
      </c>
      <c r="M24" s="7">
        <f>H24+Q24</f>
        <v/>
      </c>
      <c r="N24" s="7">
        <f>K24-M24</f>
        <v/>
      </c>
      <c r="O24" s="7">
        <f>L24-M24</f>
        <v/>
      </c>
      <c r="P24" s="7">
        <f>ROUND((E24-G24)*D24,0)</f>
        <v/>
      </c>
      <c r="Q24" s="7">
        <f>D24*10000</f>
        <v/>
      </c>
      <c r="R24" s="7">
        <f>K24-H24</f>
        <v/>
      </c>
      <c r="S24" s="7">
        <f>L24-H24</f>
        <v/>
      </c>
    </row>
    <row r="25">
      <c r="A25" s="4" t="n"/>
      <c r="B25" s="4" t="n"/>
      <c r="C25" s="4" t="n"/>
      <c r="D25" s="5" t="n">
        <v>0</v>
      </c>
      <c r="E25" s="6" t="n"/>
      <c r="F25" s="7">
        <f>D25*E25</f>
        <v/>
      </c>
      <c r="G25" s="6" t="n"/>
      <c r="H25" s="7">
        <f>ROUND(D25*G25*1.19,0)</f>
        <v/>
      </c>
      <c r="I25" s="6" t="n"/>
      <c r="J25" s="6" t="n"/>
      <c r="K25" s="7">
        <f>D25*I25</f>
        <v/>
      </c>
      <c r="L25" s="7">
        <f>D25*J25</f>
        <v/>
      </c>
      <c r="M25" s="7">
        <f>H25+Q25</f>
        <v/>
      </c>
      <c r="N25" s="7">
        <f>K25-M25</f>
        <v/>
      </c>
      <c r="O25" s="7">
        <f>L25-M25</f>
        <v/>
      </c>
      <c r="P25" s="7">
        <f>ROUND((E25-G25)*D25,0)</f>
        <v/>
      </c>
      <c r="Q25" s="7">
        <f>D25*10000</f>
        <v/>
      </c>
      <c r="R25" s="7">
        <f>K25-H25</f>
        <v/>
      </c>
      <c r="S25" s="7">
        <f>L25-H25</f>
        <v/>
      </c>
    </row>
    <row r="26">
      <c r="A26" s="4" t="n"/>
      <c r="B26" s="4" t="n"/>
      <c r="C26" s="4" t="n"/>
      <c r="D26" s="5" t="n">
        <v>0</v>
      </c>
      <c r="E26" s="6" t="n"/>
      <c r="F26" s="7">
        <f>D26*E26</f>
        <v/>
      </c>
      <c r="G26" s="6" t="n"/>
      <c r="H26" s="7">
        <f>ROUND(D26*G26*1.19,0)</f>
        <v/>
      </c>
      <c r="I26" s="6" t="n"/>
      <c r="J26" s="6" t="n"/>
      <c r="K26" s="7">
        <f>D26*I26</f>
        <v/>
      </c>
      <c r="L26" s="7">
        <f>D26*J26</f>
        <v/>
      </c>
      <c r="M26" s="7">
        <f>H26+Q26</f>
        <v/>
      </c>
      <c r="N26" s="7">
        <f>K26-M26</f>
        <v/>
      </c>
      <c r="O26" s="7">
        <f>L26-M26</f>
        <v/>
      </c>
      <c r="P26" s="7">
        <f>ROUND((E26-G26)*D26,0)</f>
        <v/>
      </c>
      <c r="Q26" s="7">
        <f>D26*10000</f>
        <v/>
      </c>
      <c r="R26" s="7">
        <f>K26-H26</f>
        <v/>
      </c>
      <c r="S26" s="7">
        <f>L26-H26</f>
        <v/>
      </c>
    </row>
    <row r="27">
      <c r="A27" s="4" t="n"/>
      <c r="B27" s="4" t="n"/>
      <c r="C27" s="4" t="n"/>
      <c r="D27" s="5" t="n">
        <v>0</v>
      </c>
      <c r="E27" s="6" t="n"/>
      <c r="F27" s="7">
        <f>D27*E27</f>
        <v/>
      </c>
      <c r="G27" s="6" t="n"/>
      <c r="H27" s="7">
        <f>ROUND(D27*G27*1.19,0)</f>
        <v/>
      </c>
      <c r="I27" s="6" t="n"/>
      <c r="J27" s="6" t="n"/>
      <c r="K27" s="7">
        <f>D27*I27</f>
        <v/>
      </c>
      <c r="L27" s="7">
        <f>D27*J27</f>
        <v/>
      </c>
      <c r="M27" s="7">
        <f>H27+Q27</f>
        <v/>
      </c>
      <c r="N27" s="7">
        <f>K27-M27</f>
        <v/>
      </c>
      <c r="O27" s="7">
        <f>L27-M27</f>
        <v/>
      </c>
      <c r="P27" s="7">
        <f>ROUND((E27-G27)*D27,0)</f>
        <v/>
      </c>
      <c r="Q27" s="7">
        <f>D27*10000</f>
        <v/>
      </c>
      <c r="R27" s="7">
        <f>K27-H27</f>
        <v/>
      </c>
      <c r="S27" s="7">
        <f>L27-H27</f>
        <v/>
      </c>
    </row>
    <row r="28">
      <c r="A28" s="4" t="n"/>
      <c r="B28" s="4" t="n"/>
      <c r="C28" s="4" t="n"/>
      <c r="D28" s="5" t="n">
        <v>0</v>
      </c>
      <c r="E28" s="6" t="n"/>
      <c r="F28" s="7">
        <f>D28*E28</f>
        <v/>
      </c>
      <c r="G28" s="6" t="n"/>
      <c r="H28" s="7">
        <f>ROUND(D28*G28*1.19,0)</f>
        <v/>
      </c>
      <c r="I28" s="6" t="n"/>
      <c r="J28" s="6" t="n"/>
      <c r="K28" s="7">
        <f>D28*I28</f>
        <v/>
      </c>
      <c r="L28" s="7">
        <f>D28*J28</f>
        <v/>
      </c>
      <c r="M28" s="7">
        <f>H28+Q28</f>
        <v/>
      </c>
      <c r="N28" s="7">
        <f>K28-M28</f>
        <v/>
      </c>
      <c r="O28" s="7">
        <f>L28-M28</f>
        <v/>
      </c>
      <c r="P28" s="7">
        <f>ROUND((E28-G28)*D28,0)</f>
        <v/>
      </c>
      <c r="Q28" s="7">
        <f>D28*10000</f>
        <v/>
      </c>
      <c r="R28" s="7">
        <f>K28-H28</f>
        <v/>
      </c>
      <c r="S28" s="7">
        <f>L28-H28</f>
        <v/>
      </c>
    </row>
    <row r="29">
      <c r="A29" s="4" t="n"/>
      <c r="B29" s="4" t="n"/>
      <c r="C29" s="4" t="n"/>
      <c r="D29" s="5" t="n">
        <v>0</v>
      </c>
      <c r="E29" s="6" t="n"/>
      <c r="F29" s="7">
        <f>D29*E29</f>
        <v/>
      </c>
      <c r="G29" s="6" t="n"/>
      <c r="H29" s="7">
        <f>ROUND(D29*G29*1.19,0)</f>
        <v/>
      </c>
      <c r="I29" s="6" t="n"/>
      <c r="J29" s="6" t="n"/>
      <c r="K29" s="7">
        <f>D29*I29</f>
        <v/>
      </c>
      <c r="L29" s="7">
        <f>D29*J29</f>
        <v/>
      </c>
      <c r="M29" s="7">
        <f>H29+Q29</f>
        <v/>
      </c>
      <c r="N29" s="7">
        <f>K29-M29</f>
        <v/>
      </c>
      <c r="O29" s="7">
        <f>L29-M29</f>
        <v/>
      </c>
      <c r="P29" s="7">
        <f>ROUND((E29-G29)*D29,0)</f>
        <v/>
      </c>
      <c r="Q29" s="7">
        <f>D29*10000</f>
        <v/>
      </c>
      <c r="R29" s="7">
        <f>K29-H29</f>
        <v/>
      </c>
      <c r="S29" s="7">
        <f>L29-H29</f>
        <v/>
      </c>
    </row>
    <row r="30">
      <c r="A30" s="4" t="n"/>
      <c r="B30" s="4" t="n"/>
      <c r="C30" s="4" t="n"/>
      <c r="D30" s="5" t="n">
        <v>0</v>
      </c>
      <c r="E30" s="6" t="n"/>
      <c r="F30" s="7">
        <f>D30*E30</f>
        <v/>
      </c>
      <c r="G30" s="6" t="n"/>
      <c r="H30" s="7">
        <f>ROUND(D30*G30*1.19,0)</f>
        <v/>
      </c>
      <c r="I30" s="6" t="n"/>
      <c r="J30" s="6" t="n"/>
      <c r="K30" s="7">
        <f>D30*I30</f>
        <v/>
      </c>
      <c r="L30" s="7">
        <f>D30*J30</f>
        <v/>
      </c>
      <c r="M30" s="7">
        <f>H30+Q30</f>
        <v/>
      </c>
      <c r="N30" s="7">
        <f>K30-M30</f>
        <v/>
      </c>
      <c r="O30" s="7">
        <f>L30-M30</f>
        <v/>
      </c>
      <c r="P30" s="7">
        <f>ROUND((E30-G30)*D30,0)</f>
        <v/>
      </c>
      <c r="Q30" s="7">
        <f>D30*10000</f>
        <v/>
      </c>
      <c r="R30" s="7">
        <f>K30-H30</f>
        <v/>
      </c>
      <c r="S30" s="7">
        <f>L30-H30</f>
        <v/>
      </c>
    </row>
    <row r="31">
      <c r="A31" s="4" t="n"/>
      <c r="B31" s="4" t="n"/>
      <c r="C31" s="4" t="n"/>
      <c r="D31" s="5" t="n">
        <v>0</v>
      </c>
      <c r="E31" s="6" t="n"/>
      <c r="F31" s="7">
        <f>D31*E31</f>
        <v/>
      </c>
      <c r="G31" s="6" t="n"/>
      <c r="H31" s="7">
        <f>ROUND(D31*G31*1.19,0)</f>
        <v/>
      </c>
      <c r="I31" s="6" t="n"/>
      <c r="J31" s="6" t="n"/>
      <c r="K31" s="7">
        <f>D31*I31</f>
        <v/>
      </c>
      <c r="L31" s="7">
        <f>D31*J31</f>
        <v/>
      </c>
      <c r="M31" s="7">
        <f>H31+Q31</f>
        <v/>
      </c>
      <c r="N31" s="7">
        <f>K31-M31</f>
        <v/>
      </c>
      <c r="O31" s="7">
        <f>L31-M31</f>
        <v/>
      </c>
      <c r="P31" s="7">
        <f>ROUND((E31-G31)*D31,0)</f>
        <v/>
      </c>
      <c r="Q31" s="7">
        <f>D31*10000</f>
        <v/>
      </c>
      <c r="R31" s="7">
        <f>K31-H31</f>
        <v/>
      </c>
      <c r="S31" s="7">
        <f>L31-H31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E5"/>
  <autoFilter ref="A1:S31"/>
  <conditionalFormatting sqref="D2:D31">
    <cfRule type="cellIs" priority="1" operator="equal" dxfId="0">
      <formula>0</formula>
    </cfRule>
    <cfRule type="cellIs" priority="2" operator="equal" dxfId="1">
      <formula>1</formula>
    </cfRule>
  </conditionalFormatting>
  <dataValidations count="2">
    <dataValidation sqref="D2:D31" showDropDown="0" showInputMessage="0" showErrorMessage="0" allowBlank="0" errorTitle="Stock inválido" error="Stock debe ser 0 o más (piezas físicas)." type="whole" operator="greaterThanOrEqual">
      <formula1>0</formula1>
    </dataValidation>
    <dataValidation sqref="E2:E31 G2:G31 I2:I31 J2:J31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8" max="8"/>
  </cols>
  <sheetData>
    <row r="1">
      <c r="A1" s="8" t="inlineStr">
        <is>
          <t>Fecha</t>
        </is>
      </c>
      <c r="B1" s="8" t="inlineStr">
        <is>
          <t>Hora</t>
        </is>
      </c>
      <c r="C1" s="8" t="inlineStr">
        <is>
          <t>Referencia</t>
        </is>
      </c>
      <c r="D1" s="8" t="inlineStr">
        <is>
          <t>Tipo</t>
        </is>
      </c>
      <c r="E1" s="8" t="inlineStr">
        <is>
          <t>Cantidad</t>
        </is>
      </c>
      <c r="F1" s="8" t="inlineStr">
        <is>
          <t>Stock anterior</t>
        </is>
      </c>
      <c r="G1" s="8" t="inlineStr">
        <is>
          <t>Stock nuevo</t>
        </is>
      </c>
      <c r="H1" s="8" t="inlineStr">
        <is>
          <t>Motivo</t>
        </is>
      </c>
      <c r="I1" s="8" t="inlineStr">
        <is>
          <t>Usuario</t>
        </is>
      </c>
    </row>
  </sheetData>
  <dataValidations count="1">
    <dataValidation sqref="D2:D5000" showDropDown="0" showInputMessage="0" showErrorMessage="0" allowBlank="0" type="list">
      <formula1>"Entrada,Salida,Venta,Ajuste,Compra,Sincronización"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3" max="3"/>
  </cols>
  <sheetData>
    <row r="1">
      <c r="A1" s="9" t="inlineStr">
        <is>
          <t>Prioridad</t>
        </is>
      </c>
      <c r="B1" s="9" t="inlineStr">
        <is>
          <t>REFERENCIA</t>
        </is>
      </c>
      <c r="C1" s="9" t="inlineStr">
        <is>
          <t>DESCRIPCIÓN</t>
        </is>
      </c>
      <c r="D1" s="9" t="inlineStr">
        <is>
          <t>STOCK</t>
        </is>
      </c>
      <c r="E1" s="9" t="inlineStr">
        <is>
          <t>Acción sugerida</t>
        </is>
      </c>
    </row>
    <row r="2">
      <c r="A2" t="inlineStr">
        <is>
          <t>OK</t>
        </is>
      </c>
      <c r="B2" t="inlineStr">
        <is>
          <t>Sin alertas</t>
        </is>
      </c>
      <c r="E2" t="inlineStr">
        <is>
          <t>Todo el stock está por encima de 1 pieza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0" t="inlineStr">
        <is>
          <t>Concepto</t>
        </is>
      </c>
      <c r="B1" s="10" t="inlineStr">
        <is>
          <t>Valor</t>
        </is>
      </c>
    </row>
    <row r="2">
      <c r="A2" t="inlineStr">
        <is>
          <t>Total referencias activas</t>
        </is>
      </c>
      <c r="B2" s="11">
        <f>COUNTIF('Inventario'!A2:A31,"?*")</f>
        <v/>
      </c>
    </row>
    <row r="3">
      <c r="A3" t="inlineStr">
        <is>
          <t>Total piezas en stock</t>
        </is>
      </c>
      <c r="B3" s="11">
        <f>SUM('Inventario'!D2:D31)</f>
        <v/>
      </c>
    </row>
    <row r="4">
      <c r="A4" t="inlineStr">
        <is>
          <t>Alertas stock bajo (≤1)</t>
        </is>
      </c>
      <c r="B4" s="11">
        <f>COUNTIF('Inventario'!D2:D31,"&lt;=1")</f>
        <v/>
      </c>
    </row>
    <row r="5">
      <c r="A5" t="inlineStr"/>
    </row>
    <row r="6">
      <c r="A6" s="12" t="inlineStr">
        <is>
          <t>── INVERSIÓN ──</t>
        </is>
      </c>
    </row>
    <row r="7">
      <c r="A7" t="inlineStr">
        <is>
          <t>Inversión en facturas (con IVA)</t>
        </is>
      </c>
      <c r="B7" s="13">
        <f>SUM('Inventario'!H2:H31)</f>
        <v/>
      </c>
    </row>
    <row r="8">
      <c r="A8" t="inlineStr"/>
    </row>
    <row r="9">
      <c r="A9" s="12" t="inlineStr">
        <is>
          <t>── GANANCIA NETA REAL ──</t>
        </is>
      </c>
    </row>
    <row r="10">
      <c r="A10" s="14" t="inlineStr">
        <is>
          <t>★ Ganancia neta Taller</t>
        </is>
      </c>
      <c r="B10" s="15">
        <f>SUM('Inventario'!R2:R31)</f>
        <v/>
      </c>
    </row>
    <row r="11">
      <c r="A11" s="14" t="inlineStr">
        <is>
          <t>★ Ganancia neta Público</t>
        </is>
      </c>
      <c r="B11" s="15">
        <f>SUM('Inventario'!S2:S31)</f>
        <v/>
      </c>
    </row>
    <row r="12">
      <c r="A12" s="16" t="inlineStr">
        <is>
          <t>↳ Inversión YA descontada. NO restar otra vez.</t>
        </is>
      </c>
    </row>
    <row r="13">
      <c r="A13" t="inlineStr"/>
    </row>
    <row r="14">
      <c r="A14" s="12" t="inlineStr">
        <is>
          <t>── OPERATIVO ──</t>
        </is>
      </c>
    </row>
    <row r="15">
      <c r="A15" t="inlineStr">
        <is>
          <t>Ganancia operativa Taller</t>
        </is>
      </c>
      <c r="B15" s="13">
        <f>SUM('Inventario'!N2:N31)</f>
        <v/>
      </c>
    </row>
    <row r="16">
      <c r="A16" t="inlineStr">
        <is>
          <t>Fondo logística domicilios</t>
        </is>
      </c>
      <c r="B16" s="13">
        <f>SUM('Inventario'!Q2:Q31)</f>
        <v/>
      </c>
    </row>
    <row r="17">
      <c r="A17" t="inlineStr">
        <is>
          <t>Ahorro mayorista (reinversión)</t>
        </is>
      </c>
      <c r="B17" s="13">
        <f>SUM('Inventario'!P2:P31)</f>
        <v/>
      </c>
    </row>
    <row r="18">
      <c r="A18" t="inlineStr">
        <is>
          <t>Última sincronización PWA</t>
        </is>
      </c>
      <c r="B18" t="inlineStr">
        <is>
          <t>2026-06-08 19:29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0" t="inlineStr">
        <is>
          <t>Paso</t>
        </is>
      </c>
      <c r="B1" s="10" t="inlineStr">
        <is>
          <t>Instrucción</t>
        </is>
      </c>
    </row>
    <row r="2">
      <c r="A2" t="inlineStr">
        <is>
          <t>1. Cambiar stock</t>
        </is>
      </c>
      <c r="B2" t="inlineStr">
        <is>
          <t>Edita columna amarilla STOCK (piezas) en hoja Inventario.</t>
        </is>
      </c>
    </row>
    <row r="3">
      <c r="A3" t="inlineStr">
        <is>
          <t>2. Registrar movimiento</t>
        </is>
      </c>
      <c r="B3" t="inlineStr">
        <is>
          <t>Ejecuta: py -3 registrar_movimiento.py REF -1 "Venta taller"</t>
        </is>
      </c>
    </row>
    <row r="4">
      <c r="A4" t="inlineStr">
        <is>
          <t>3. Sincronizar PWA</t>
        </is>
      </c>
      <c r="B4" t="inlineStr">
        <is>
          <t>Ejecuta: py -3 sincronizar_inventario.py</t>
        </is>
      </c>
    </row>
    <row r="5">
      <c r="A5" t="inlineStr">
        <is>
          <t>4. Agregar producto nuevo</t>
        </is>
      </c>
      <c r="B5" t="inlineStr">
        <is>
          <t>En Inventario, busca fila ← NUEVO. Llena REFERENCIA, DESCRIPCIÓN, MARCA, STOCK, Catálogo y Facturado. Los precios Taller/Público se pueden calcular con el script o pegar manualmente.</t>
        </is>
      </c>
    </row>
    <row r="6">
      <c r="A6" t="inlineStr">
        <is>
          <t>5. Calcular precios auto</t>
        </is>
      </c>
      <c r="B6" t="inlineStr">
        <is>
          <t>py -3 inventario.py precios REFERENCIA — calcula taller/público desde catálogo.</t>
        </is>
      </c>
    </row>
    <row r="7">
      <c r="A7" t="inlineStr">
        <is>
          <t>6. Ocultar columnas grises</t>
        </is>
      </c>
      <c r="B7" t="inlineStr">
        <is>
          <t>Selecciona P–S → clic derecho → Ocultar.</t>
        </is>
      </c>
    </row>
    <row r="8">
      <c r="A8" t="inlineStr">
        <is>
          <t>7. Desbloquear edición</t>
        </is>
      </c>
      <c r="B8" t="inlineStr">
        <is>
          <t>Si Excel pide contraseña de hoja: apex</t>
        </is>
      </c>
    </row>
    <row r="9">
      <c r="A9" t="inlineStr">
        <is>
          <t>8. Plantilla vacía</t>
        </is>
      </c>
      <c r="B9" t="inlineStr">
        <is>
          <t>Usa Inventario_Apex_PLANTILLA.xlsx para empezar desde cero.</t>
        </is>
      </c>
    </row>
    <row r="10">
      <c r="A10" t="inlineStr">
        <is>
          <t>9. Pedido histórico</t>
        </is>
      </c>
      <c r="B10" t="inlineStr">
        <is>
          <t>Los análisis de pedidos van en carpeta pedidos/ — no mezclar con el VIVO.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2026-06-09T00:29:35Z</dcterms:created>
  <dcterms:modified xmlns:dcterms="http://purl.org/dc/terms/" xmlns:xsi="http://www.w3.org/2001/XMLSchema-instance" xsi:type="dcterms:W3CDTF">2026-06-09T00:29:35Z</dcterms:modified>
</cp:coreProperties>
</file>