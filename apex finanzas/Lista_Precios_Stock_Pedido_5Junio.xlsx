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 y Stock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'Lista de Precios y Stock'!$A$1:$S$125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4" borderId="1" pivotButton="0" quotePrefix="0" xfId="0"/>
    <xf numFmtId="164" fontId="0" fillId="0" borderId="1" pivotButton="0" quotePrefix="0" xfId="0"/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Total pagado factura (IVA)</t>
        </is>
      </c>
      <c r="I1" s="1" t="inlineStr">
        <is>
          <t>Precio Taller / pieza</t>
        </is>
      </c>
      <c r="J1" s="1" t="inlineStr">
        <is>
          <t>Precio Público / pieza</t>
        </is>
      </c>
      <c r="K1" s="1" t="inlineStr">
        <is>
          <t>Venta total Taller</t>
        </is>
      </c>
      <c r="L1" s="1" t="inlineStr">
        <is>
          <t>Venta total Público</t>
        </is>
      </c>
      <c r="M1" s="1" t="inlineStr">
        <is>
          <t>Costo real total</t>
        </is>
      </c>
      <c r="N1" s="1" t="inlineStr">
        <is>
          <t>Ganancia total Taller</t>
        </is>
      </c>
      <c r="O1" s="1" t="inlineStr">
        <is>
          <t>Ganancia total Público</t>
        </is>
      </c>
      <c r="P1" s="2" t="inlineStr">
        <is>
          <t>Ahorro mayorista total (reinversión)</t>
        </is>
      </c>
      <c r="Q1" s="2" t="inlineStr">
        <is>
          <t>Fondo logística total ($10k/pza)</t>
        </is>
      </c>
      <c r="R1" s="2" t="inlineStr">
        <is>
          <t>Ganancia neta Taller (sin domicilio)</t>
        </is>
      </c>
      <c r="S1" s="2" t="inlineStr">
        <is>
          <t>Ganancia neta Público (sin domicilio)</t>
        </is>
      </c>
    </row>
    <row r="2">
      <c r="A2" s="3" t="inlineStr">
        <is>
          <t>KTR-4016</t>
        </is>
      </c>
      <c r="B2" s="3" t="inlineStr">
        <is>
          <t>Terminal Dirección Optra DER</t>
        </is>
      </c>
      <c r="C2" s="3" t="inlineStr">
        <is>
          <t>Chevrolet</t>
        </is>
      </c>
      <c r="D2" s="4" t="n">
        <v>2</v>
      </c>
      <c r="E2" s="5" t="n">
        <v>27500</v>
      </c>
      <c r="F2" s="5">
        <f>D2*E2</f>
        <v/>
      </c>
      <c r="G2" s="5" t="n">
        <v>20625</v>
      </c>
      <c r="H2" s="5">
        <f>ROUND(D2*G2*1.19,0)</f>
        <v/>
      </c>
      <c r="I2" s="5" t="n">
        <v>54776</v>
      </c>
      <c r="J2" s="5" t="n">
        <v>65731</v>
      </c>
      <c r="K2" s="5">
        <f>D2*I2</f>
        <v/>
      </c>
      <c r="L2" s="5">
        <f>D2*J2</f>
        <v/>
      </c>
      <c r="M2" s="5">
        <f>H2+Q2</f>
        <v/>
      </c>
      <c r="N2" s="5">
        <f>K2-M2</f>
        <v/>
      </c>
      <c r="O2" s="5">
        <f>L2-M2</f>
        <v/>
      </c>
      <c r="P2" s="5">
        <f>ROUND((E2-G2)*D2,0)</f>
        <v/>
      </c>
      <c r="Q2" s="5">
        <f>D2*10000</f>
        <v/>
      </c>
      <c r="R2" s="5">
        <f>K2-H2</f>
        <v/>
      </c>
      <c r="S2" s="5">
        <f>L2-H2</f>
        <v/>
      </c>
    </row>
    <row r="3">
      <c r="A3" s="3" t="inlineStr">
        <is>
          <t>KSL-1005</t>
        </is>
      </c>
      <c r="B3" s="3" t="inlineStr">
        <is>
          <t>Bieleta Estab. Luv Dmax 4x4 RT50 Del IZQ</t>
        </is>
      </c>
      <c r="C3" s="3" t="inlineStr">
        <is>
          <t>Chevrolet</t>
        </is>
      </c>
      <c r="D3" s="4" t="n">
        <v>2</v>
      </c>
      <c r="E3" s="5" t="n">
        <v>23630</v>
      </c>
      <c r="F3" s="5">
        <f>D3*E3</f>
        <v/>
      </c>
      <c r="G3" s="5" t="n">
        <v>17723</v>
      </c>
      <c r="H3" s="5">
        <f>ROUND(D3*G3*1.19,0)</f>
        <v/>
      </c>
      <c r="I3" s="5" t="n">
        <v>48871</v>
      </c>
      <c r="J3" s="5" t="n">
        <v>58646</v>
      </c>
      <c r="K3" s="5">
        <f>D3*I3</f>
        <v/>
      </c>
      <c r="L3" s="5">
        <f>D3*J3</f>
        <v/>
      </c>
      <c r="M3" s="5">
        <f>H3+Q3</f>
        <v/>
      </c>
      <c r="N3" s="5">
        <f>K3-M3</f>
        <v/>
      </c>
      <c r="O3" s="5">
        <f>L3-M3</f>
        <v/>
      </c>
      <c r="P3" s="5">
        <f>ROUND((E3-G3)*D3,0)</f>
        <v/>
      </c>
      <c r="Q3" s="5">
        <f>D3*10000</f>
        <v/>
      </c>
      <c r="R3" s="5">
        <f>K3-H3</f>
        <v/>
      </c>
      <c r="S3" s="5">
        <f>L3-H3</f>
        <v/>
      </c>
    </row>
    <row r="4">
      <c r="A4" s="3" t="inlineStr">
        <is>
          <t>KBJ-4013</t>
        </is>
      </c>
      <c r="B4" s="3" t="inlineStr">
        <is>
          <t>Rótula Luv 2300 SUP</t>
        </is>
      </c>
      <c r="C4" s="3" t="inlineStr">
        <is>
          <t>Chevrolet</t>
        </is>
      </c>
      <c r="D4" s="4" t="n">
        <v>2</v>
      </c>
      <c r="E4" s="5" t="n">
        <v>31280</v>
      </c>
      <c r="F4" s="5">
        <f>D4*E4</f>
        <v/>
      </c>
      <c r="G4" s="5" t="n">
        <v>23460</v>
      </c>
      <c r="H4" s="5">
        <f>ROUND(D4*G4*1.19,0)</f>
        <v/>
      </c>
      <c r="I4" s="5" t="n">
        <v>60543</v>
      </c>
      <c r="J4" s="5" t="n">
        <v>72651</v>
      </c>
      <c r="K4" s="5">
        <f>D4*I4</f>
        <v/>
      </c>
      <c r="L4" s="5">
        <f>D4*J4</f>
        <v/>
      </c>
      <c r="M4" s="5">
        <f>H4+Q4</f>
        <v/>
      </c>
      <c r="N4" s="5">
        <f>K4-M4</f>
        <v/>
      </c>
      <c r="O4" s="5">
        <f>L4-M4</f>
        <v/>
      </c>
      <c r="P4" s="5">
        <f>ROUND((E4-G4)*D4,0)</f>
        <v/>
      </c>
      <c r="Q4" s="5">
        <f>D4*10000</f>
        <v/>
      </c>
      <c r="R4" s="5">
        <f>K4-H4</f>
        <v/>
      </c>
      <c r="S4" s="5">
        <f>L4-H4</f>
        <v/>
      </c>
    </row>
    <row r="5">
      <c r="A5" s="3" t="inlineStr">
        <is>
          <t>KTR-4035</t>
        </is>
      </c>
      <c r="B5" s="3" t="inlineStr">
        <is>
          <t>Terminal Dirección Sail IZQ</t>
        </is>
      </c>
      <c r="C5" s="3" t="inlineStr">
        <is>
          <t>Chevrolet</t>
        </is>
      </c>
      <c r="D5" s="4" t="n">
        <v>2</v>
      </c>
      <c r="E5" s="5" t="n">
        <v>26580</v>
      </c>
      <c r="F5" s="5">
        <f>D5*E5</f>
        <v/>
      </c>
      <c r="G5" s="5" t="n">
        <v>19935</v>
      </c>
      <c r="H5" s="5">
        <f>ROUND(D5*G5*1.19,0)</f>
        <v/>
      </c>
      <c r="I5" s="5" t="n">
        <v>53372</v>
      </c>
      <c r="J5" s="5" t="n">
        <v>64046</v>
      </c>
      <c r="K5" s="5">
        <f>D5*I5</f>
        <v/>
      </c>
      <c r="L5" s="5">
        <f>D5*J5</f>
        <v/>
      </c>
      <c r="M5" s="5">
        <f>H5+Q5</f>
        <v/>
      </c>
      <c r="N5" s="5">
        <f>K5-M5</f>
        <v/>
      </c>
      <c r="O5" s="5">
        <f>L5-M5</f>
        <v/>
      </c>
      <c r="P5" s="5">
        <f>ROUND((E5-G5)*D5,0)</f>
        <v/>
      </c>
      <c r="Q5" s="5">
        <f>D5*10000</f>
        <v/>
      </c>
      <c r="R5" s="5">
        <f>K5-H5</f>
        <v/>
      </c>
      <c r="S5" s="5">
        <f>L5-H5</f>
        <v/>
      </c>
    </row>
    <row r="6">
      <c r="A6" s="3" t="inlineStr">
        <is>
          <t>KBJ-4001</t>
        </is>
      </c>
      <c r="B6" s="3" t="inlineStr">
        <is>
          <t>Rótula Aveo-Sail</t>
        </is>
      </c>
      <c r="C6" s="3" t="inlineStr">
        <is>
          <t>Chevrolet</t>
        </is>
      </c>
      <c r="D6" s="4" t="n">
        <v>2</v>
      </c>
      <c r="E6" s="5" t="n">
        <v>23410</v>
      </c>
      <c r="F6" s="5">
        <f>D6*E6</f>
        <v/>
      </c>
      <c r="G6" s="5" t="n">
        <v>17558</v>
      </c>
      <c r="H6" s="5">
        <f>ROUND(D6*G6*1.19,0)</f>
        <v/>
      </c>
      <c r="I6" s="5" t="n">
        <v>48536</v>
      </c>
      <c r="J6" s="5" t="n">
        <v>58243</v>
      </c>
      <c r="K6" s="5">
        <f>D6*I6</f>
        <v/>
      </c>
      <c r="L6" s="5">
        <f>D6*J6</f>
        <v/>
      </c>
      <c r="M6" s="5">
        <f>H6+Q6</f>
        <v/>
      </c>
      <c r="N6" s="5">
        <f>K6-M6</f>
        <v/>
      </c>
      <c r="O6" s="5">
        <f>L6-M6</f>
        <v/>
      </c>
      <c r="P6" s="5">
        <f>ROUND((E6-G6)*D6,0)</f>
        <v/>
      </c>
      <c r="Q6" s="5">
        <f>D6*10000</f>
        <v/>
      </c>
      <c r="R6" s="5">
        <f>K6-H6</f>
        <v/>
      </c>
      <c r="S6" s="5">
        <f>L6-H6</f>
        <v/>
      </c>
    </row>
    <row r="7">
      <c r="A7" s="3" t="inlineStr">
        <is>
          <t>KTR-4034</t>
        </is>
      </c>
      <c r="B7" s="3" t="inlineStr">
        <is>
          <t>Terminal Dirección Sail DER</t>
        </is>
      </c>
      <c r="C7" s="3" t="inlineStr">
        <is>
          <t>Chevrolet</t>
        </is>
      </c>
      <c r="D7" s="4" t="n">
        <v>2</v>
      </c>
      <c r="E7" s="5" t="n">
        <v>26580</v>
      </c>
      <c r="F7" s="5">
        <f>D7*E7</f>
        <v/>
      </c>
      <c r="G7" s="5" t="n">
        <v>19935</v>
      </c>
      <c r="H7" s="5">
        <f>ROUND(D7*G7*1.19,0)</f>
        <v/>
      </c>
      <c r="I7" s="5" t="n">
        <v>53372</v>
      </c>
      <c r="J7" s="5" t="n">
        <v>64046</v>
      </c>
      <c r="K7" s="5">
        <f>D7*I7</f>
        <v/>
      </c>
      <c r="L7" s="5">
        <f>D7*J7</f>
        <v/>
      </c>
      <c r="M7" s="5">
        <f>H7+Q7</f>
        <v/>
      </c>
      <c r="N7" s="5">
        <f>K7-M7</f>
        <v/>
      </c>
      <c r="O7" s="5">
        <f>L7-M7</f>
        <v/>
      </c>
      <c r="P7" s="5">
        <f>ROUND((E7-G7)*D7,0)</f>
        <v/>
      </c>
      <c r="Q7" s="5">
        <f>D7*10000</f>
        <v/>
      </c>
      <c r="R7" s="5">
        <f>K7-H7</f>
        <v/>
      </c>
      <c r="S7" s="5">
        <f>L7-H7</f>
        <v/>
      </c>
    </row>
    <row r="8">
      <c r="A8" s="3" t="inlineStr">
        <is>
          <t>KBJ-4008</t>
        </is>
      </c>
      <c r="B8" s="3" t="inlineStr">
        <is>
          <t>Rótula Luv 2300 4x4 D-Max 4x2-4x4 Trooper INF (x2)</t>
        </is>
      </c>
      <c r="C8" s="3" t="inlineStr">
        <is>
          <t>Chevrolet</t>
        </is>
      </c>
      <c r="D8" s="4" t="n">
        <v>2</v>
      </c>
      <c r="E8" s="5" t="n">
        <v>47740</v>
      </c>
      <c r="F8" s="5">
        <f>D8*E8</f>
        <v/>
      </c>
      <c r="G8" s="5" t="n">
        <v>35805</v>
      </c>
      <c r="H8" s="5">
        <f>ROUND(D8*G8*1.19,0)</f>
        <v/>
      </c>
      <c r="I8" s="5" t="n">
        <v>85655</v>
      </c>
      <c r="J8" s="5" t="n">
        <v>102786</v>
      </c>
      <c r="K8" s="5">
        <f>D8*I8</f>
        <v/>
      </c>
      <c r="L8" s="5">
        <f>D8*J8</f>
        <v/>
      </c>
      <c r="M8" s="5">
        <f>H8+Q8</f>
        <v/>
      </c>
      <c r="N8" s="5">
        <f>K8-M8</f>
        <v/>
      </c>
      <c r="O8" s="5">
        <f>L8-M8</f>
        <v/>
      </c>
      <c r="P8" s="5">
        <f>ROUND((E8-G8)*D8,0)</f>
        <v/>
      </c>
      <c r="Q8" s="5">
        <f>D8*10000</f>
        <v/>
      </c>
      <c r="R8" s="5">
        <f>K8-H8</f>
        <v/>
      </c>
      <c r="S8" s="5">
        <f>L8-H8</f>
        <v/>
      </c>
    </row>
    <row r="9">
      <c r="A9" s="3" t="inlineStr">
        <is>
          <t>KTR-4019</t>
        </is>
      </c>
      <c r="B9" s="3" t="inlineStr">
        <is>
          <t>Terminal Dir Spark GT 1.2</t>
        </is>
      </c>
      <c r="C9" s="3" t="inlineStr">
        <is>
          <t>Chevrolet</t>
        </is>
      </c>
      <c r="D9" s="4" t="n">
        <v>2</v>
      </c>
      <c r="E9" s="5" t="n">
        <v>27680</v>
      </c>
      <c r="F9" s="5">
        <f>D9*E9</f>
        <v/>
      </c>
      <c r="G9" s="5" t="n">
        <v>20760</v>
      </c>
      <c r="H9" s="5">
        <f>ROUND(D9*G9*1.19,0)</f>
        <v/>
      </c>
      <c r="I9" s="5" t="n">
        <v>55050</v>
      </c>
      <c r="J9" s="5" t="n">
        <v>66060</v>
      </c>
      <c r="K9" s="5">
        <f>D9*I9</f>
        <v/>
      </c>
      <c r="L9" s="5">
        <f>D9*J9</f>
        <v/>
      </c>
      <c r="M9" s="5">
        <f>H9+Q9</f>
        <v/>
      </c>
      <c r="N9" s="5">
        <f>K9-M9</f>
        <v/>
      </c>
      <c r="O9" s="5">
        <f>L9-M9</f>
        <v/>
      </c>
      <c r="P9" s="5">
        <f>ROUND((E9-G9)*D9,0)</f>
        <v/>
      </c>
      <c r="Q9" s="5">
        <f>D9*10000</f>
        <v/>
      </c>
      <c r="R9" s="5">
        <f>K9-H9</f>
        <v/>
      </c>
      <c r="S9" s="5">
        <f>L9-H9</f>
        <v/>
      </c>
    </row>
    <row r="10">
      <c r="A10" s="3" t="inlineStr">
        <is>
          <t>KTR-4015</t>
        </is>
      </c>
      <c r="B10" s="3" t="inlineStr">
        <is>
          <t>Terminal Dir Optra IZQ</t>
        </is>
      </c>
      <c r="C10" s="3" t="inlineStr">
        <is>
          <t>Chevrolet</t>
        </is>
      </c>
      <c r="D10" s="4" t="n">
        <v>2</v>
      </c>
      <c r="E10" s="5" t="n">
        <v>27500</v>
      </c>
      <c r="F10" s="5">
        <f>D10*E10</f>
        <v/>
      </c>
      <c r="G10" s="5" t="n">
        <v>20625</v>
      </c>
      <c r="H10" s="5">
        <f>ROUND(D10*G10*1.19,0)</f>
        <v/>
      </c>
      <c r="I10" s="5" t="n">
        <v>54776</v>
      </c>
      <c r="J10" s="5" t="n">
        <v>65731</v>
      </c>
      <c r="K10" s="5">
        <f>D10*I10</f>
        <v/>
      </c>
      <c r="L10" s="5">
        <f>D10*J10</f>
        <v/>
      </c>
      <c r="M10" s="5">
        <f>H10+Q10</f>
        <v/>
      </c>
      <c r="N10" s="5">
        <f>K10-M10</f>
        <v/>
      </c>
      <c r="O10" s="5">
        <f>L10-M10</f>
        <v/>
      </c>
      <c r="P10" s="5">
        <f>ROUND((E10-G10)*D10,0)</f>
        <v/>
      </c>
      <c r="Q10" s="5">
        <f>D10*10000</f>
        <v/>
      </c>
      <c r="R10" s="5">
        <f>K10-H10</f>
        <v/>
      </c>
      <c r="S10" s="5">
        <f>L10-H10</f>
        <v/>
      </c>
    </row>
    <row r="11">
      <c r="A11" s="3" t="inlineStr">
        <is>
          <t>KTR-4002</t>
        </is>
      </c>
      <c r="B11" s="3" t="inlineStr">
        <is>
          <t>Terminal Dir Aveo DER</t>
        </is>
      </c>
      <c r="C11" s="3" t="inlineStr">
        <is>
          <t>Chevrolet</t>
        </is>
      </c>
      <c r="D11" s="4" t="n">
        <v>2</v>
      </c>
      <c r="E11" s="5" t="n">
        <v>24820</v>
      </c>
      <c r="F11" s="5">
        <f>D11*E11</f>
        <v/>
      </c>
      <c r="G11" s="5" t="n">
        <v>18615</v>
      </c>
      <c r="H11" s="5">
        <f>ROUND(D11*G11*1.19,0)</f>
        <v/>
      </c>
      <c r="I11" s="5" t="n">
        <v>50687</v>
      </c>
      <c r="J11" s="5" t="n">
        <v>60824</v>
      </c>
      <c r="K11" s="5">
        <f>D11*I11</f>
        <v/>
      </c>
      <c r="L11" s="5">
        <f>D11*J11</f>
        <v/>
      </c>
      <c r="M11" s="5">
        <f>H11+Q11</f>
        <v/>
      </c>
      <c r="N11" s="5">
        <f>K11-M11</f>
        <v/>
      </c>
      <c r="O11" s="5">
        <f>L11-M11</f>
        <v/>
      </c>
      <c r="P11" s="5">
        <f>ROUND((E11-G11)*D11,0)</f>
        <v/>
      </c>
      <c r="Q11" s="5">
        <f>D11*10000</f>
        <v/>
      </c>
      <c r="R11" s="5">
        <f>K11-H11</f>
        <v/>
      </c>
      <c r="S11" s="5">
        <f>L11-H11</f>
        <v/>
      </c>
    </row>
    <row r="12">
      <c r="A12" s="3" t="inlineStr">
        <is>
          <t>KTR-4003</t>
        </is>
      </c>
      <c r="B12" s="3" t="inlineStr">
        <is>
          <t>Terminal Dir Aveo IZQ</t>
        </is>
      </c>
      <c r="C12" s="3" t="inlineStr">
        <is>
          <t>Chevrolet</t>
        </is>
      </c>
      <c r="D12" s="4" t="n">
        <v>2</v>
      </c>
      <c r="E12" s="5" t="n">
        <v>24820</v>
      </c>
      <c r="F12" s="5">
        <f>D12*E12</f>
        <v/>
      </c>
      <c r="G12" s="5" t="n">
        <v>18615</v>
      </c>
      <c r="H12" s="5">
        <f>ROUND(D12*G12*1.19,0)</f>
        <v/>
      </c>
      <c r="I12" s="5" t="n">
        <v>50687</v>
      </c>
      <c r="J12" s="5" t="n">
        <v>60824</v>
      </c>
      <c r="K12" s="5">
        <f>D12*I12</f>
        <v/>
      </c>
      <c r="L12" s="5">
        <f>D12*J12</f>
        <v/>
      </c>
      <c r="M12" s="5">
        <f>H12+Q12</f>
        <v/>
      </c>
      <c r="N12" s="5">
        <f>K12-M12</f>
        <v/>
      </c>
      <c r="O12" s="5">
        <f>L12-M12</f>
        <v/>
      </c>
      <c r="P12" s="5">
        <f>ROUND((E12-G12)*D12,0)</f>
        <v/>
      </c>
      <c r="Q12" s="5">
        <f>D12*10000</f>
        <v/>
      </c>
      <c r="R12" s="5">
        <f>K12-H12</f>
        <v/>
      </c>
      <c r="S12" s="5">
        <f>L12-H12</f>
        <v/>
      </c>
    </row>
    <row r="13">
      <c r="A13" s="3" t="inlineStr">
        <is>
          <t>KSL-1006</t>
        </is>
      </c>
      <c r="B13" s="3" t="inlineStr">
        <is>
          <t>Bieleta Estab. Luv D-Max 4x4 RT-50 Del DER</t>
        </is>
      </c>
      <c r="C13" s="3" t="inlineStr">
        <is>
          <t>Chevrolet</t>
        </is>
      </c>
      <c r="D13" s="4" t="n">
        <v>2</v>
      </c>
      <c r="E13" s="5" t="n">
        <v>23630</v>
      </c>
      <c r="F13" s="5">
        <f>D13*E13</f>
        <v/>
      </c>
      <c r="G13" s="5" t="n">
        <v>17723</v>
      </c>
      <c r="H13" s="5">
        <f>ROUND(D13*G13*1.19,0)</f>
        <v/>
      </c>
      <c r="I13" s="5" t="n">
        <v>48871</v>
      </c>
      <c r="J13" s="5" t="n">
        <v>58646</v>
      </c>
      <c r="K13" s="5">
        <f>D13*I13</f>
        <v/>
      </c>
      <c r="L13" s="5">
        <f>D13*J13</f>
        <v/>
      </c>
      <c r="M13" s="5">
        <f>H13+Q13</f>
        <v/>
      </c>
      <c r="N13" s="5">
        <f>K13-M13</f>
        <v/>
      </c>
      <c r="O13" s="5">
        <f>L13-M13</f>
        <v/>
      </c>
      <c r="P13" s="5">
        <f>ROUND((E13-G13)*D13,0)</f>
        <v/>
      </c>
      <c r="Q13" s="5">
        <f>D13*10000</f>
        <v/>
      </c>
      <c r="R13" s="5">
        <f>K13-H13</f>
        <v/>
      </c>
      <c r="S13" s="5">
        <f>L13-H13</f>
        <v/>
      </c>
    </row>
    <row r="14">
      <c r="A14" s="3" t="inlineStr">
        <is>
          <t>KSL-1004</t>
        </is>
      </c>
      <c r="B14" s="3" t="inlineStr">
        <is>
          <t>Bieleta Estab. Spark GT</t>
        </is>
      </c>
      <c r="C14" s="3" t="inlineStr">
        <is>
          <t>Chevrolet</t>
        </is>
      </c>
      <c r="D14" s="4" t="n">
        <v>2</v>
      </c>
      <c r="E14" s="5" t="n">
        <v>18040</v>
      </c>
      <c r="F14" s="5">
        <f>D14*E14</f>
        <v/>
      </c>
      <c r="G14" s="5" t="n">
        <v>13530</v>
      </c>
      <c r="H14" s="5">
        <f>ROUND(D14*G14*1.19,0)</f>
        <v/>
      </c>
      <c r="I14" s="5" t="n">
        <v>40343</v>
      </c>
      <c r="J14" s="5" t="n">
        <v>48412</v>
      </c>
      <c r="K14" s="5">
        <f>D14*I14</f>
        <v/>
      </c>
      <c r="L14" s="5">
        <f>D14*J14</f>
        <v/>
      </c>
      <c r="M14" s="5">
        <f>H14+Q14</f>
        <v/>
      </c>
      <c r="N14" s="5">
        <f>K14-M14</f>
        <v/>
      </c>
      <c r="O14" s="5">
        <f>L14-M14</f>
        <v/>
      </c>
      <c r="P14" s="5">
        <f>ROUND((E14-G14)*D14,0)</f>
        <v/>
      </c>
      <c r="Q14" s="5">
        <f>D14*10000</f>
        <v/>
      </c>
      <c r="R14" s="5">
        <f>K14-H14</f>
        <v/>
      </c>
      <c r="S14" s="5">
        <f>L14-H14</f>
        <v/>
      </c>
    </row>
    <row r="15">
      <c r="A15" s="3" t="inlineStr">
        <is>
          <t>KRE-3015</t>
        </is>
      </c>
      <c r="B15" s="3" t="inlineStr">
        <is>
          <t>Terminal Axial Spark Chronos-Matiz</t>
        </is>
      </c>
      <c r="C15" s="3" t="inlineStr">
        <is>
          <t>Chevrolet</t>
        </is>
      </c>
      <c r="D15" s="4" t="n">
        <v>2</v>
      </c>
      <c r="E15" s="5" t="n">
        <v>20990</v>
      </c>
      <c r="F15" s="5">
        <f>D15*E15</f>
        <v/>
      </c>
      <c r="G15" s="5" t="n">
        <v>15743</v>
      </c>
      <c r="H15" s="5">
        <f>ROUND(D15*G15*1.19,0)</f>
        <v/>
      </c>
      <c r="I15" s="5" t="n">
        <v>44844</v>
      </c>
      <c r="J15" s="5" t="n">
        <v>53812</v>
      </c>
      <c r="K15" s="5">
        <f>D15*I15</f>
        <v/>
      </c>
      <c r="L15" s="5">
        <f>D15*J15</f>
        <v/>
      </c>
      <c r="M15" s="5">
        <f>H15+Q15</f>
        <v/>
      </c>
      <c r="N15" s="5">
        <f>K15-M15</f>
        <v/>
      </c>
      <c r="O15" s="5">
        <f>L15-M15</f>
        <v/>
      </c>
      <c r="P15" s="5">
        <f>ROUND((E15-G15)*D15,0)</f>
        <v/>
      </c>
      <c r="Q15" s="5">
        <f>D15*10000</f>
        <v/>
      </c>
      <c r="R15" s="5">
        <f>K15-H15</f>
        <v/>
      </c>
      <c r="S15" s="5">
        <f>L15-H15</f>
        <v/>
      </c>
    </row>
    <row r="16">
      <c r="A16" s="3" t="inlineStr">
        <is>
          <t>KRE-3002</t>
        </is>
      </c>
      <c r="B16" s="3" t="inlineStr">
        <is>
          <t>Terminal Axial Aveo DER</t>
        </is>
      </c>
      <c r="C16" s="3" t="inlineStr">
        <is>
          <t>Chevrolet</t>
        </is>
      </c>
      <c r="D16" s="4" t="n">
        <v>2</v>
      </c>
      <c r="E16" s="5" t="n">
        <v>21910</v>
      </c>
      <c r="F16" s="5">
        <f>D16*E16</f>
        <v/>
      </c>
      <c r="G16" s="5" t="n">
        <v>16433</v>
      </c>
      <c r="H16" s="5">
        <f>ROUND(D16*G16*1.19,0)</f>
        <v/>
      </c>
      <c r="I16" s="5" t="n">
        <v>46247</v>
      </c>
      <c r="J16" s="5" t="n">
        <v>55497</v>
      </c>
      <c r="K16" s="5">
        <f>D16*I16</f>
        <v/>
      </c>
      <c r="L16" s="5">
        <f>D16*J16</f>
        <v/>
      </c>
      <c r="M16" s="5">
        <f>H16+Q16</f>
        <v/>
      </c>
      <c r="N16" s="5">
        <f>K16-M16</f>
        <v/>
      </c>
      <c r="O16" s="5">
        <f>L16-M16</f>
        <v/>
      </c>
      <c r="P16" s="5">
        <f>ROUND((E16-G16)*D16,0)</f>
        <v/>
      </c>
      <c r="Q16" s="5">
        <f>D16*10000</f>
        <v/>
      </c>
      <c r="R16" s="5">
        <f>K16-H16</f>
        <v/>
      </c>
      <c r="S16" s="5">
        <f>L16-H16</f>
        <v/>
      </c>
    </row>
    <row r="17">
      <c r="A17" s="3" t="inlineStr">
        <is>
          <t>KSL-1010</t>
        </is>
      </c>
      <c r="B17" s="3" t="inlineStr">
        <is>
          <t>Bieleta Estab. Optra Del DER</t>
        </is>
      </c>
      <c r="C17" s="3" t="inlineStr">
        <is>
          <t>Chevrolet</t>
        </is>
      </c>
      <c r="D17" s="4" t="n">
        <v>2</v>
      </c>
      <c r="E17" s="5" t="n">
        <v>22220</v>
      </c>
      <c r="F17" s="5">
        <f>D17*E17</f>
        <v/>
      </c>
      <c r="G17" s="5" t="n">
        <v>16665</v>
      </c>
      <c r="H17" s="5">
        <f>ROUND(D17*G17*1.19,0)</f>
        <v/>
      </c>
      <c r="I17" s="5" t="n">
        <v>46720</v>
      </c>
      <c r="J17" s="5" t="n">
        <v>56064</v>
      </c>
      <c r="K17" s="5">
        <f>D17*I17</f>
        <v/>
      </c>
      <c r="L17" s="5">
        <f>D17*J17</f>
        <v/>
      </c>
      <c r="M17" s="5">
        <f>H17+Q17</f>
        <v/>
      </c>
      <c r="N17" s="5">
        <f>K17-M17</f>
        <v/>
      </c>
      <c r="O17" s="5">
        <f>L17-M17</f>
        <v/>
      </c>
      <c r="P17" s="5">
        <f>ROUND((E17-G17)*D17,0)</f>
        <v/>
      </c>
      <c r="Q17" s="5">
        <f>D17*10000</f>
        <v/>
      </c>
      <c r="R17" s="5">
        <f>K17-H17</f>
        <v/>
      </c>
      <c r="S17" s="5">
        <f>L17-H17</f>
        <v/>
      </c>
    </row>
    <row r="18">
      <c r="A18" s="3" t="inlineStr">
        <is>
          <t>KSL-1011</t>
        </is>
      </c>
      <c r="B18" s="3" t="inlineStr">
        <is>
          <t>Bieleta Estab. Optra Del IZQ</t>
        </is>
      </c>
      <c r="C18" s="3" t="inlineStr">
        <is>
          <t>Chevrolet</t>
        </is>
      </c>
      <c r="D18" s="4" t="n">
        <v>2</v>
      </c>
      <c r="E18" s="5" t="n">
        <v>22220</v>
      </c>
      <c r="F18" s="5">
        <f>D18*E18</f>
        <v/>
      </c>
      <c r="G18" s="5" t="n">
        <v>16665</v>
      </c>
      <c r="H18" s="5">
        <f>ROUND(D18*G18*1.19,0)</f>
        <v/>
      </c>
      <c r="I18" s="5" t="n">
        <v>46720</v>
      </c>
      <c r="J18" s="5" t="n">
        <v>56064</v>
      </c>
      <c r="K18" s="5">
        <f>D18*I18</f>
        <v/>
      </c>
      <c r="L18" s="5">
        <f>D18*J18</f>
        <v/>
      </c>
      <c r="M18" s="5">
        <f>H18+Q18</f>
        <v/>
      </c>
      <c r="N18" s="5">
        <f>K18-M18</f>
        <v/>
      </c>
      <c r="O18" s="5">
        <f>L18-M18</f>
        <v/>
      </c>
      <c r="P18" s="5">
        <f>ROUND((E18-G18)*D18,0)</f>
        <v/>
      </c>
      <c r="Q18" s="5">
        <f>D18*10000</f>
        <v/>
      </c>
      <c r="R18" s="5">
        <f>K18-H18</f>
        <v/>
      </c>
      <c r="S18" s="5">
        <f>L18-H18</f>
        <v/>
      </c>
    </row>
    <row r="19">
      <c r="A19" s="3" t="inlineStr">
        <is>
          <t>KRE-3013</t>
        </is>
      </c>
      <c r="B19" s="3" t="inlineStr">
        <is>
          <t>Terminal Axial Sail</t>
        </is>
      </c>
      <c r="C19" s="3" t="inlineStr">
        <is>
          <t>Chevrolet</t>
        </is>
      </c>
      <c r="D19" s="4" t="n">
        <v>2</v>
      </c>
      <c r="E19" s="5" t="n">
        <v>21470</v>
      </c>
      <c r="F19" s="5">
        <f>D19*E19</f>
        <v/>
      </c>
      <c r="G19" s="5" t="n">
        <v>16103</v>
      </c>
      <c r="H19" s="5">
        <f>ROUND(D19*G19*1.19,0)</f>
        <v/>
      </c>
      <c r="I19" s="5" t="n">
        <v>45576</v>
      </c>
      <c r="J19" s="5" t="n">
        <v>54691</v>
      </c>
      <c r="K19" s="5">
        <f>D19*I19</f>
        <v/>
      </c>
      <c r="L19" s="5">
        <f>D19*J19</f>
        <v/>
      </c>
      <c r="M19" s="5">
        <f>H19+Q19</f>
        <v/>
      </c>
      <c r="N19" s="5">
        <f>K19-M19</f>
        <v/>
      </c>
      <c r="O19" s="5">
        <f>L19-M19</f>
        <v/>
      </c>
      <c r="P19" s="5">
        <f>ROUND((E19-G19)*D19,0)</f>
        <v/>
      </c>
      <c r="Q19" s="5">
        <f>D19*10000</f>
        <v/>
      </c>
      <c r="R19" s="5">
        <f>K19-H19</f>
        <v/>
      </c>
      <c r="S19" s="5">
        <f>L19-H19</f>
        <v/>
      </c>
    </row>
    <row r="20">
      <c r="A20" s="3" t="inlineStr">
        <is>
          <t>KRE-3026</t>
        </is>
      </c>
      <c r="B20" s="3" t="inlineStr">
        <is>
          <t>Terminal Axial Captiva 3.2 Tracker II 368mm-M14</t>
        </is>
      </c>
      <c r="C20" s="3" t="inlineStr">
        <is>
          <t>Chevrolet</t>
        </is>
      </c>
      <c r="D20" s="4" t="n">
        <v>2</v>
      </c>
      <c r="E20" s="5" t="n">
        <v>25870</v>
      </c>
      <c r="F20" s="5">
        <f>D20*E20</f>
        <v/>
      </c>
      <c r="G20" s="5" t="n">
        <v>19403</v>
      </c>
      <c r="H20" s="5">
        <f>ROUND(D20*G20*1.19,0)</f>
        <v/>
      </c>
      <c r="I20" s="5" t="n">
        <v>52289</v>
      </c>
      <c r="J20" s="5" t="n">
        <v>62747</v>
      </c>
      <c r="K20" s="5">
        <f>D20*I20</f>
        <v/>
      </c>
      <c r="L20" s="5">
        <f>D20*J20</f>
        <v/>
      </c>
      <c r="M20" s="5">
        <f>H20+Q20</f>
        <v/>
      </c>
      <c r="N20" s="5">
        <f>K20-M20</f>
        <v/>
      </c>
      <c r="O20" s="5">
        <f>L20-M20</f>
        <v/>
      </c>
      <c r="P20" s="5">
        <f>ROUND((E20-G20)*D20,0)</f>
        <v/>
      </c>
      <c r="Q20" s="5">
        <f>D20*10000</f>
        <v/>
      </c>
      <c r="R20" s="5">
        <f>K20-H20</f>
        <v/>
      </c>
      <c r="S20" s="5">
        <f>L20-H20</f>
        <v/>
      </c>
    </row>
    <row r="21">
      <c r="A21" s="3" t="inlineStr">
        <is>
          <t>KSA-CH043</t>
        </is>
      </c>
      <c r="B21" s="3" t="inlineStr">
        <is>
          <t>Amortiguador Captiva 18-08 2.4 Del IZQ</t>
        </is>
      </c>
      <c r="C21" s="3" t="inlineStr">
        <is>
          <t>Chevrolet</t>
        </is>
      </c>
      <c r="D21" s="4" t="n">
        <v>1</v>
      </c>
      <c r="E21" s="5" t="n">
        <v>152460</v>
      </c>
      <c r="F21" s="5">
        <f>D21*E21</f>
        <v/>
      </c>
      <c r="G21" s="5" t="n">
        <v>114345</v>
      </c>
      <c r="H21" s="5">
        <f>ROUND(D21*G21*1.19,0)</f>
        <v/>
      </c>
      <c r="I21" s="5" t="n">
        <v>245420</v>
      </c>
      <c r="J21" s="5" t="n">
        <v>294504</v>
      </c>
      <c r="K21" s="5">
        <f>D21*I21</f>
        <v/>
      </c>
      <c r="L21" s="5">
        <f>D21*J21</f>
        <v/>
      </c>
      <c r="M21" s="5">
        <f>H21+Q21</f>
        <v/>
      </c>
      <c r="N21" s="5">
        <f>K21-M21</f>
        <v/>
      </c>
      <c r="O21" s="5">
        <f>L21-M21</f>
        <v/>
      </c>
      <c r="P21" s="5">
        <f>ROUND((E21-G21)*D21,0)</f>
        <v/>
      </c>
      <c r="Q21" s="5">
        <f>D21*10000</f>
        <v/>
      </c>
      <c r="R21" s="5">
        <f>K21-H21</f>
        <v/>
      </c>
      <c r="S21" s="5">
        <f>L21-H21</f>
        <v/>
      </c>
    </row>
    <row r="22">
      <c r="A22" s="3" t="inlineStr">
        <is>
          <t>KSA-CH042</t>
        </is>
      </c>
      <c r="B22" s="3" t="inlineStr">
        <is>
          <t>Amortiguador Captiva 18-08 2.4 Del DER</t>
        </is>
      </c>
      <c r="C22" s="3" t="inlineStr">
        <is>
          <t>Chevrolet</t>
        </is>
      </c>
      <c r="D22" s="4" t="n">
        <v>1</v>
      </c>
      <c r="E22" s="5" t="n">
        <v>152460</v>
      </c>
      <c r="F22" s="5">
        <f>D22*E22</f>
        <v/>
      </c>
      <c r="G22" s="5" t="n">
        <v>114345</v>
      </c>
      <c r="H22" s="5">
        <f>ROUND(D22*G22*1.19,0)</f>
        <v/>
      </c>
      <c r="I22" s="5" t="n">
        <v>245420</v>
      </c>
      <c r="J22" s="5" t="n">
        <v>294504</v>
      </c>
      <c r="K22" s="5">
        <f>D22*I22</f>
        <v/>
      </c>
      <c r="L22" s="5">
        <f>D22*J22</f>
        <v/>
      </c>
      <c r="M22" s="5">
        <f>H22+Q22</f>
        <v/>
      </c>
      <c r="N22" s="5">
        <f>K22-M22</f>
        <v/>
      </c>
      <c r="O22" s="5">
        <f>L22-M22</f>
        <v/>
      </c>
      <c r="P22" s="5">
        <f>ROUND((E22-G22)*D22,0)</f>
        <v/>
      </c>
      <c r="Q22" s="5">
        <f>D22*10000</f>
        <v/>
      </c>
      <c r="R22" s="5">
        <f>K22-H22</f>
        <v/>
      </c>
      <c r="S22" s="5">
        <f>L22-H22</f>
        <v/>
      </c>
    </row>
    <row r="23">
      <c r="A23" s="3" t="inlineStr">
        <is>
          <t>KBJ-4091</t>
        </is>
      </c>
      <c r="B23" s="3" t="inlineStr">
        <is>
          <t>Rótula Cobalt-Tracker-Sonic-Onix</t>
        </is>
      </c>
      <c r="C23" s="3" t="inlineStr">
        <is>
          <t>Chevrolet</t>
        </is>
      </c>
      <c r="D23" s="4" t="n">
        <v>2</v>
      </c>
      <c r="E23" s="5" t="n">
        <v>28420</v>
      </c>
      <c r="F23" s="5">
        <f>D23*E23</f>
        <v/>
      </c>
      <c r="G23" s="5" t="n">
        <v>21315</v>
      </c>
      <c r="H23" s="5">
        <f>ROUND(D23*G23*1.19,0)</f>
        <v/>
      </c>
      <c r="I23" s="5" t="n">
        <v>56179</v>
      </c>
      <c r="J23" s="5" t="n">
        <v>67415</v>
      </c>
      <c r="K23" s="5">
        <f>D23*I23</f>
        <v/>
      </c>
      <c r="L23" s="5">
        <f>D23*J23</f>
        <v/>
      </c>
      <c r="M23" s="5">
        <f>H23+Q23</f>
        <v/>
      </c>
      <c r="N23" s="5">
        <f>K23-M23</f>
        <v/>
      </c>
      <c r="O23" s="5">
        <f>L23-M23</f>
        <v/>
      </c>
      <c r="P23" s="5">
        <f>ROUND((E23-G23)*D23,0)</f>
        <v/>
      </c>
      <c r="Q23" s="5">
        <f>D23*10000</f>
        <v/>
      </c>
      <c r="R23" s="5">
        <f>K23-H23</f>
        <v/>
      </c>
      <c r="S23" s="5">
        <f>L23-H23</f>
        <v/>
      </c>
    </row>
    <row r="24">
      <c r="A24" s="3" t="inlineStr">
        <is>
          <t>KTR-4018</t>
        </is>
      </c>
      <c r="B24" s="3" t="inlineStr">
        <is>
          <t>Terminal Dir Spark Chronos / Daewoo Matiz-Tico</t>
        </is>
      </c>
      <c r="C24" s="3" t="inlineStr">
        <is>
          <t>Chevrolet/Daewoo</t>
        </is>
      </c>
      <c r="D24" s="4" t="n">
        <v>2</v>
      </c>
      <c r="E24" s="5" t="n">
        <v>17290</v>
      </c>
      <c r="F24" s="5">
        <f>D24*E24</f>
        <v/>
      </c>
      <c r="G24" s="5" t="n">
        <v>12968</v>
      </c>
      <c r="H24" s="5">
        <f>ROUND(D24*G24*1.19,0)</f>
        <v/>
      </c>
      <c r="I24" s="5" t="n">
        <v>39199</v>
      </c>
      <c r="J24" s="5" t="n">
        <v>47039</v>
      </c>
      <c r="K24" s="5">
        <f>D24*I24</f>
        <v/>
      </c>
      <c r="L24" s="5">
        <f>D24*J24</f>
        <v/>
      </c>
      <c r="M24" s="5">
        <f>H24+Q24</f>
        <v/>
      </c>
      <c r="N24" s="5">
        <f>K24-M24</f>
        <v/>
      </c>
      <c r="O24" s="5">
        <f>L24-M24</f>
        <v/>
      </c>
      <c r="P24" s="5">
        <f>ROUND((E24-G24)*D24,0)</f>
        <v/>
      </c>
      <c r="Q24" s="5">
        <f>D24*10000</f>
        <v/>
      </c>
      <c r="R24" s="5">
        <f>K24-H24</f>
        <v/>
      </c>
      <c r="S24" s="5">
        <f>L24-H24</f>
        <v/>
      </c>
    </row>
    <row r="25">
      <c r="A25" s="3" t="inlineStr">
        <is>
          <t>KSA-DA001</t>
        </is>
      </c>
      <c r="B25" s="3" t="inlineStr">
        <is>
          <t>Amortiguador Spark 7.24 / Daewoo Matiz II Del DER</t>
        </is>
      </c>
      <c r="C25" s="3" t="inlineStr">
        <is>
          <t>Chevrolet/Daewoo</t>
        </is>
      </c>
      <c r="D25" s="4" t="n">
        <v>1</v>
      </c>
      <c r="E25" s="5" t="n">
        <v>78800</v>
      </c>
      <c r="F25" s="5">
        <f>D25*E25</f>
        <v/>
      </c>
      <c r="G25" s="5" t="n">
        <v>59100</v>
      </c>
      <c r="H25" s="5">
        <f>ROUND(D25*G25*1.19,0)</f>
        <v/>
      </c>
      <c r="I25" s="5" t="n">
        <v>133041</v>
      </c>
      <c r="J25" s="5" t="n">
        <v>159649</v>
      </c>
      <c r="K25" s="5">
        <f>D25*I25</f>
        <v/>
      </c>
      <c r="L25" s="5">
        <f>D25*J25</f>
        <v/>
      </c>
      <c r="M25" s="5">
        <f>H25+Q25</f>
        <v/>
      </c>
      <c r="N25" s="5">
        <f>K25-M25</f>
        <v/>
      </c>
      <c r="O25" s="5">
        <f>L25-M25</f>
        <v/>
      </c>
      <c r="P25" s="5">
        <f>ROUND((E25-G25)*D25,0)</f>
        <v/>
      </c>
      <c r="Q25" s="5">
        <f>D25*10000</f>
        <v/>
      </c>
      <c r="R25" s="5">
        <f>K25-H25</f>
        <v/>
      </c>
      <c r="S25" s="5">
        <f>L25-H25</f>
        <v/>
      </c>
    </row>
    <row r="26">
      <c r="A26" s="3" t="inlineStr">
        <is>
          <t>KSA-DA002</t>
        </is>
      </c>
      <c r="B26" s="3" t="inlineStr">
        <is>
          <t>Amortiguador Spark 7.24 / Daewoo Matiz II Del IZQ</t>
        </is>
      </c>
      <c r="C26" s="3" t="inlineStr">
        <is>
          <t>Chevrolet/Daewoo</t>
        </is>
      </c>
      <c r="D26" s="4" t="n">
        <v>1</v>
      </c>
      <c r="E26" s="5" t="n">
        <v>78800</v>
      </c>
      <c r="F26" s="5">
        <f>D26*E26</f>
        <v/>
      </c>
      <c r="G26" s="5" t="n">
        <v>59100</v>
      </c>
      <c r="H26" s="5">
        <f>ROUND(D26*G26*1.19,0)</f>
        <v/>
      </c>
      <c r="I26" s="5" t="n">
        <v>133041</v>
      </c>
      <c r="J26" s="5" t="n">
        <v>159649</v>
      </c>
      <c r="K26" s="5">
        <f>D26*I26</f>
        <v/>
      </c>
      <c r="L26" s="5">
        <f>D26*J26</f>
        <v/>
      </c>
      <c r="M26" s="5">
        <f>H26+Q26</f>
        <v/>
      </c>
      <c r="N26" s="5">
        <f>K26-M26</f>
        <v/>
      </c>
      <c r="O26" s="5">
        <f>L26-M26</f>
        <v/>
      </c>
      <c r="P26" s="5">
        <f>ROUND((E26-G26)*D26,0)</f>
        <v/>
      </c>
      <c r="Q26" s="5">
        <f>D26*10000</f>
        <v/>
      </c>
      <c r="R26" s="5">
        <f>K26-H26</f>
        <v/>
      </c>
      <c r="S26" s="5">
        <f>L26-H26</f>
        <v/>
      </c>
    </row>
    <row r="27">
      <c r="A27" s="3" t="inlineStr">
        <is>
          <t>KSL-1001</t>
        </is>
      </c>
      <c r="B27" s="3" t="inlineStr">
        <is>
          <t>Bieleta Estab. Aveo / Allegro</t>
        </is>
      </c>
      <c r="C27" s="3" t="inlineStr">
        <is>
          <t>Chevrolet/Mazda</t>
        </is>
      </c>
      <c r="D27" s="4" t="n">
        <v>2</v>
      </c>
      <c r="E27" s="5" t="n">
        <v>18220</v>
      </c>
      <c r="F27" s="5">
        <f>D27*E27</f>
        <v/>
      </c>
      <c r="G27" s="5" t="n">
        <v>13665</v>
      </c>
      <c r="H27" s="5">
        <f>ROUND(D27*G27*1.19,0)</f>
        <v/>
      </c>
      <c r="I27" s="5" t="n">
        <v>40618</v>
      </c>
      <c r="J27" s="5" t="n">
        <v>48741</v>
      </c>
      <c r="K27" s="5">
        <f>D27*I27</f>
        <v/>
      </c>
      <c r="L27" s="5">
        <f>D27*J27</f>
        <v/>
      </c>
      <c r="M27" s="5">
        <f>H27+Q27</f>
        <v/>
      </c>
      <c r="N27" s="5">
        <f>K27-M27</f>
        <v/>
      </c>
      <c r="O27" s="5">
        <f>L27-M27</f>
        <v/>
      </c>
      <c r="P27" s="5">
        <f>ROUND((E27-G27)*D27,0)</f>
        <v/>
      </c>
      <c r="Q27" s="5">
        <f>D27*10000</f>
        <v/>
      </c>
      <c r="R27" s="5">
        <f>K27-H27</f>
        <v/>
      </c>
      <c r="S27" s="5">
        <f>L27-H27</f>
        <v/>
      </c>
    </row>
    <row r="28">
      <c r="A28" s="3" t="inlineStr">
        <is>
          <t>KSL-1013</t>
        </is>
      </c>
      <c r="B28" s="3" t="inlineStr">
        <is>
          <t>Bieleta Estab. Swift-Esteem-Vitara / Nissan Sentra</t>
        </is>
      </c>
      <c r="C28" s="3" t="inlineStr">
        <is>
          <t>Chevrolet/Nissan</t>
        </is>
      </c>
      <c r="D28" s="4" t="n">
        <v>2</v>
      </c>
      <c r="E28" s="5" t="n">
        <v>17200</v>
      </c>
      <c r="F28" s="5">
        <f>D28*E28</f>
        <v/>
      </c>
      <c r="G28" s="5" t="n">
        <v>12900</v>
      </c>
      <c r="H28" s="5">
        <f>ROUND(D28*G28*1.19,0)</f>
        <v/>
      </c>
      <c r="I28" s="5" t="n">
        <v>39062</v>
      </c>
      <c r="J28" s="5" t="n">
        <v>46874</v>
      </c>
      <c r="K28" s="5">
        <f>D28*I28</f>
        <v/>
      </c>
      <c r="L28" s="5">
        <f>D28*J28</f>
        <v/>
      </c>
      <c r="M28" s="5">
        <f>H28+Q28</f>
        <v/>
      </c>
      <c r="N28" s="5">
        <f>K28-M28</f>
        <v/>
      </c>
      <c r="O28" s="5">
        <f>L28-M28</f>
        <v/>
      </c>
      <c r="P28" s="5">
        <f>ROUND((E28-G28)*D28,0)</f>
        <v/>
      </c>
      <c r="Q28" s="5">
        <f>D28*10000</f>
        <v/>
      </c>
      <c r="R28" s="5">
        <f>K28-H28</f>
        <v/>
      </c>
      <c r="S28" s="5">
        <f>L28-H28</f>
        <v/>
      </c>
    </row>
    <row r="29">
      <c r="A29" s="3" t="inlineStr">
        <is>
          <t>KTR-4333</t>
        </is>
      </c>
      <c r="B29" s="3" t="inlineStr">
        <is>
          <t>Terminal Dirección Fiesta 18-12 IZQ</t>
        </is>
      </c>
      <c r="C29" s="3" t="inlineStr">
        <is>
          <t>Ford</t>
        </is>
      </c>
      <c r="D29" s="4" t="n">
        <v>2</v>
      </c>
      <c r="E29" s="5" t="n">
        <v>18920</v>
      </c>
      <c r="F29" s="5">
        <f>D29*E29</f>
        <v/>
      </c>
      <c r="G29" s="5" t="n">
        <v>14190</v>
      </c>
      <c r="H29" s="5">
        <f>ROUND(D29*G29*1.19,0)</f>
        <v/>
      </c>
      <c r="I29" s="5" t="n">
        <v>41686</v>
      </c>
      <c r="J29" s="5" t="n">
        <v>50023</v>
      </c>
      <c r="K29" s="5">
        <f>D29*I29</f>
        <v/>
      </c>
      <c r="L29" s="5">
        <f>D29*J29</f>
        <v/>
      </c>
      <c r="M29" s="5">
        <f>H29+Q29</f>
        <v/>
      </c>
      <c r="N29" s="5">
        <f>K29-M29</f>
        <v/>
      </c>
      <c r="O29" s="5">
        <f>L29-M29</f>
        <v/>
      </c>
      <c r="P29" s="5">
        <f>ROUND((E29-G29)*D29,0)</f>
        <v/>
      </c>
      <c r="Q29" s="5">
        <f>D29*10000</f>
        <v/>
      </c>
      <c r="R29" s="5">
        <f>K29-H29</f>
        <v/>
      </c>
      <c r="S29" s="5">
        <f>L29-H29</f>
        <v/>
      </c>
    </row>
    <row r="30">
      <c r="A30" s="3" t="inlineStr">
        <is>
          <t>KTR-4332</t>
        </is>
      </c>
      <c r="B30" s="3" t="inlineStr">
        <is>
          <t>Terminal Dir Ford Fiesta 18-12 DER</t>
        </is>
      </c>
      <c r="C30" s="3" t="inlineStr">
        <is>
          <t>Ford</t>
        </is>
      </c>
      <c r="D30" s="4" t="n">
        <v>2</v>
      </c>
      <c r="E30" s="5" t="n">
        <v>18920</v>
      </c>
      <c r="F30" s="5">
        <f>D30*E30</f>
        <v/>
      </c>
      <c r="G30" s="5" t="n">
        <v>14190</v>
      </c>
      <c r="H30" s="5">
        <f>ROUND(D30*G30*1.19,0)</f>
        <v/>
      </c>
      <c r="I30" s="5" t="n">
        <v>41686</v>
      </c>
      <c r="J30" s="5" t="n">
        <v>50023</v>
      </c>
      <c r="K30" s="5">
        <f>D30*I30</f>
        <v/>
      </c>
      <c r="L30" s="5">
        <f>D30*J30</f>
        <v/>
      </c>
      <c r="M30" s="5">
        <f>H30+Q30</f>
        <v/>
      </c>
      <c r="N30" s="5">
        <f>K30-M30</f>
        <v/>
      </c>
      <c r="O30" s="5">
        <f>L30-M30</f>
        <v/>
      </c>
      <c r="P30" s="5">
        <f>ROUND((E30-G30)*D30,0)</f>
        <v/>
      </c>
      <c r="Q30" s="5">
        <f>D30*10000</f>
        <v/>
      </c>
      <c r="R30" s="5">
        <f>K30-H30</f>
        <v/>
      </c>
      <c r="S30" s="5">
        <f>L30-H30</f>
        <v/>
      </c>
    </row>
    <row r="31">
      <c r="A31" s="3" t="inlineStr">
        <is>
          <t>KRE-3024</t>
        </is>
      </c>
      <c r="B31" s="3" t="inlineStr">
        <is>
          <t>Terminal Axial Ford Fiesta 18-12 SE</t>
        </is>
      </c>
      <c r="C31" s="3" t="inlineStr">
        <is>
          <t>Ford</t>
        </is>
      </c>
      <c r="D31" s="4" t="n">
        <v>2</v>
      </c>
      <c r="E31" s="5" t="n">
        <v>20720</v>
      </c>
      <c r="F31" s="5">
        <f>D31*E31</f>
        <v/>
      </c>
      <c r="G31" s="5" t="n">
        <v>15540</v>
      </c>
      <c r="H31" s="5">
        <f>ROUND(D31*G31*1.19,0)</f>
        <v/>
      </c>
      <c r="I31" s="5" t="n">
        <v>44432</v>
      </c>
      <c r="J31" s="5" t="n">
        <v>53318</v>
      </c>
      <c r="K31" s="5">
        <f>D31*I31</f>
        <v/>
      </c>
      <c r="L31" s="5">
        <f>D31*J31</f>
        <v/>
      </c>
      <c r="M31" s="5">
        <f>H31+Q31</f>
        <v/>
      </c>
      <c r="N31" s="5">
        <f>K31-M31</f>
        <v/>
      </c>
      <c r="O31" s="5">
        <f>L31-M31</f>
        <v/>
      </c>
      <c r="P31" s="5">
        <f>ROUND((E31-G31)*D31,0)</f>
        <v/>
      </c>
      <c r="Q31" s="5">
        <f>D31*10000</f>
        <v/>
      </c>
      <c r="R31" s="5">
        <f>K31-H31</f>
        <v/>
      </c>
      <c r="S31" s="5">
        <f>L31-H31</f>
        <v/>
      </c>
    </row>
    <row r="32">
      <c r="A32" s="3" t="inlineStr">
        <is>
          <t>KSA-FO001</t>
        </is>
      </c>
      <c r="B32" s="3" t="inlineStr">
        <is>
          <t>Amortiguador Ford Fiesta Del IZQ</t>
        </is>
      </c>
      <c r="C32" s="3" t="inlineStr">
        <is>
          <t>Ford</t>
        </is>
      </c>
      <c r="D32" s="4" t="n">
        <v>1</v>
      </c>
      <c r="E32" s="5" t="n">
        <v>123900</v>
      </c>
      <c r="F32" s="5">
        <f>D32*E32</f>
        <v/>
      </c>
      <c r="G32" s="5" t="n">
        <v>92925</v>
      </c>
      <c r="H32" s="5">
        <f>ROUND(D32*G32*1.19,0)</f>
        <v/>
      </c>
      <c r="I32" s="5" t="n">
        <v>201847</v>
      </c>
      <c r="J32" s="5" t="n">
        <v>242217</v>
      </c>
      <c r="K32" s="5">
        <f>D32*I32</f>
        <v/>
      </c>
      <c r="L32" s="5">
        <f>D32*J32</f>
        <v/>
      </c>
      <c r="M32" s="5">
        <f>H32+Q32</f>
        <v/>
      </c>
      <c r="N32" s="5">
        <f>K32-M32</f>
        <v/>
      </c>
      <c r="O32" s="5">
        <f>L32-M32</f>
        <v/>
      </c>
      <c r="P32" s="5">
        <f>ROUND((E32-G32)*D32,0)</f>
        <v/>
      </c>
      <c r="Q32" s="5">
        <f>D32*10000</f>
        <v/>
      </c>
      <c r="R32" s="5">
        <f>K32-H32</f>
        <v/>
      </c>
      <c r="S32" s="5">
        <f>L32-H32</f>
        <v/>
      </c>
    </row>
    <row r="33">
      <c r="A33" s="3" t="inlineStr">
        <is>
          <t>KSA-FO002</t>
        </is>
      </c>
      <c r="B33" s="3" t="inlineStr">
        <is>
          <t>Amortiguador Ford Fiesta Del DER</t>
        </is>
      </c>
      <c r="C33" s="3" t="inlineStr">
        <is>
          <t>Ford</t>
        </is>
      </c>
      <c r="D33" s="4" t="n">
        <v>1</v>
      </c>
      <c r="E33" s="5" t="n">
        <v>123900</v>
      </c>
      <c r="F33" s="5">
        <f>D33*E33</f>
        <v/>
      </c>
      <c r="G33" s="5" t="n">
        <v>92925</v>
      </c>
      <c r="H33" s="5">
        <f>ROUND(D33*G33*1.19,0)</f>
        <v/>
      </c>
      <c r="I33" s="5" t="n">
        <v>201847</v>
      </c>
      <c r="J33" s="5" t="n">
        <v>242217</v>
      </c>
      <c r="K33" s="5">
        <f>D33*I33</f>
        <v/>
      </c>
      <c r="L33" s="5">
        <f>D33*J33</f>
        <v/>
      </c>
      <c r="M33" s="5">
        <f>H33+Q33</f>
        <v/>
      </c>
      <c r="N33" s="5">
        <f>K33-M33</f>
        <v/>
      </c>
      <c r="O33" s="5">
        <f>L33-M33</f>
        <v/>
      </c>
      <c r="P33" s="5">
        <f>ROUND((E33-G33)*D33,0)</f>
        <v/>
      </c>
      <c r="Q33" s="5">
        <f>D33*10000</f>
        <v/>
      </c>
      <c r="R33" s="5">
        <f>K33-H33</f>
        <v/>
      </c>
      <c r="S33" s="5">
        <f>L33-H33</f>
        <v/>
      </c>
    </row>
    <row r="34">
      <c r="A34" s="3" t="inlineStr">
        <is>
          <t>KRE-3103</t>
        </is>
      </c>
      <c r="B34" s="3" t="inlineStr">
        <is>
          <t>Terminal Axial Atos-Santro</t>
        </is>
      </c>
      <c r="C34" s="3" t="inlineStr">
        <is>
          <t>Hyundai</t>
        </is>
      </c>
      <c r="D34" s="4" t="n">
        <v>2</v>
      </c>
      <c r="E34" s="5" t="n">
        <v>18520</v>
      </c>
      <c r="F34" s="5">
        <f>D34*E34</f>
        <v/>
      </c>
      <c r="G34" s="5" t="n">
        <v>13890</v>
      </c>
      <c r="H34" s="5">
        <f>ROUND(D34*G34*1.19,0)</f>
        <v/>
      </c>
      <c r="I34" s="5" t="n">
        <v>41075</v>
      </c>
      <c r="J34" s="5" t="n">
        <v>49290</v>
      </c>
      <c r="K34" s="5">
        <f>D34*I34</f>
        <v/>
      </c>
      <c r="L34" s="5">
        <f>D34*J34</f>
        <v/>
      </c>
      <c r="M34" s="5">
        <f>H34+Q34</f>
        <v/>
      </c>
      <c r="N34" s="5">
        <f>K34-M34</f>
        <v/>
      </c>
      <c r="O34" s="5">
        <f>L34-M34</f>
        <v/>
      </c>
      <c r="P34" s="5">
        <f>ROUND((E34-G34)*D34,0)</f>
        <v/>
      </c>
      <c r="Q34" s="5">
        <f>D34*10000</f>
        <v/>
      </c>
      <c r="R34" s="5">
        <f>K34-H34</f>
        <v/>
      </c>
      <c r="S34" s="5">
        <f>L34-H34</f>
        <v/>
      </c>
    </row>
    <row r="35">
      <c r="A35" s="3" t="inlineStr">
        <is>
          <t>KBJ-4021</t>
        </is>
      </c>
      <c r="B35" s="3" t="inlineStr">
        <is>
          <t>Rótula Hyundai Atos-Santro</t>
        </is>
      </c>
      <c r="C35" s="3" t="inlineStr">
        <is>
          <t>Hyundai</t>
        </is>
      </c>
      <c r="D35" s="4" t="n">
        <v>2</v>
      </c>
      <c r="E35" s="5" t="n">
        <v>19980</v>
      </c>
      <c r="F35" s="5">
        <f>D35*E35</f>
        <v/>
      </c>
      <c r="G35" s="5" t="n">
        <v>14985</v>
      </c>
      <c r="H35" s="5">
        <f>ROUND(D35*G35*1.19,0)</f>
        <v/>
      </c>
      <c r="I35" s="5" t="n">
        <v>43303</v>
      </c>
      <c r="J35" s="5" t="n">
        <v>51963</v>
      </c>
      <c r="K35" s="5">
        <f>D35*I35</f>
        <v/>
      </c>
      <c r="L35" s="5">
        <f>D35*J35</f>
        <v/>
      </c>
      <c r="M35" s="5">
        <f>H35+Q35</f>
        <v/>
      </c>
      <c r="N35" s="5">
        <f>K35-M35</f>
        <v/>
      </c>
      <c r="O35" s="5">
        <f>L35-M35</f>
        <v/>
      </c>
      <c r="P35" s="5">
        <f>ROUND((E35-G35)*D35,0)</f>
        <v/>
      </c>
      <c r="Q35" s="5">
        <f>D35*10000</f>
        <v/>
      </c>
      <c r="R35" s="5">
        <f>K35-H35</f>
        <v/>
      </c>
      <c r="S35" s="5">
        <f>L35-H35</f>
        <v/>
      </c>
    </row>
    <row r="36">
      <c r="A36" s="3" t="inlineStr">
        <is>
          <t>KBJ-4020</t>
        </is>
      </c>
      <c r="B36" s="3" t="inlineStr">
        <is>
          <t>ROTULA HYUNDAI ACCENT VISION-KIA SEPHIA</t>
        </is>
      </c>
      <c r="C36" s="3" t="inlineStr">
        <is>
          <t>Hyundai/Kia</t>
        </is>
      </c>
      <c r="D36" s="4" t="n">
        <v>2</v>
      </c>
      <c r="E36" s="5" t="n">
        <v>23100</v>
      </c>
      <c r="F36" s="5">
        <f>D36*E36</f>
        <v/>
      </c>
      <c r="G36" s="5" t="n">
        <v>17325</v>
      </c>
      <c r="H36" s="5">
        <f>ROUND(D36*G36*1.19,0)</f>
        <v/>
      </c>
      <c r="I36" s="5" t="n">
        <v>48063</v>
      </c>
      <c r="J36" s="5" t="n">
        <v>57675</v>
      </c>
      <c r="K36" s="5">
        <f>D36*I36</f>
        <v/>
      </c>
      <c r="L36" s="5">
        <f>D36*J36</f>
        <v/>
      </c>
      <c r="M36" s="5">
        <f>H36+Q36</f>
        <v/>
      </c>
      <c r="N36" s="5">
        <f>K36-M36</f>
        <v/>
      </c>
      <c r="O36" s="5">
        <f>L36-M36</f>
        <v/>
      </c>
      <c r="P36" s="5">
        <f>ROUND((E36-G36)*D36,0)</f>
        <v/>
      </c>
      <c r="Q36" s="5">
        <f>D36*10000</f>
        <v/>
      </c>
      <c r="R36" s="5">
        <f>K36-H36</f>
        <v/>
      </c>
      <c r="S36" s="5">
        <f>L36-H36</f>
        <v/>
      </c>
    </row>
    <row r="37">
      <c r="A37" s="3" t="inlineStr">
        <is>
          <t>KTR-4204</t>
        </is>
      </c>
      <c r="B37" s="3" t="inlineStr">
        <is>
          <t>Terminal Dir H Atos-Santro-i10 / Kia Picanto-Stylus</t>
        </is>
      </c>
      <c r="C37" s="3" t="inlineStr">
        <is>
          <t>Hyundai/Kia</t>
        </is>
      </c>
      <c r="D37" s="4" t="n">
        <v>2</v>
      </c>
      <c r="E37" s="5" t="n">
        <v>16680</v>
      </c>
      <c r="F37" s="5">
        <f>D37*E37</f>
        <v/>
      </c>
      <c r="G37" s="5" t="n">
        <v>12510</v>
      </c>
      <c r="H37" s="5">
        <f>ROUND(D37*G37*1.19,0)</f>
        <v/>
      </c>
      <c r="I37" s="5" t="n">
        <v>38268</v>
      </c>
      <c r="J37" s="5" t="n">
        <v>45922</v>
      </c>
      <c r="K37" s="5">
        <f>D37*I37</f>
        <v/>
      </c>
      <c r="L37" s="5">
        <f>D37*J37</f>
        <v/>
      </c>
      <c r="M37" s="5">
        <f>H37+Q37</f>
        <v/>
      </c>
      <c r="N37" s="5">
        <f>K37-M37</f>
        <v/>
      </c>
      <c r="O37" s="5">
        <f>L37-M37</f>
        <v/>
      </c>
      <c r="P37" s="5">
        <f>ROUND((E37-G37)*D37,0)</f>
        <v/>
      </c>
      <c r="Q37" s="5">
        <f>D37*10000</f>
        <v/>
      </c>
      <c r="R37" s="5">
        <f>K37-H37</f>
        <v/>
      </c>
      <c r="S37" s="5">
        <f>L37-H37</f>
        <v/>
      </c>
    </row>
    <row r="38">
      <c r="A38" s="3" t="inlineStr">
        <is>
          <t>KTR-4213</t>
        </is>
      </c>
      <c r="B38" s="3" t="inlineStr">
        <is>
          <t>Terminal Dir Accent Vision IZQ / Kia Rio Xcite IZQ</t>
        </is>
      </c>
      <c r="C38" s="3" t="inlineStr">
        <is>
          <t>Hyundai/Kia</t>
        </is>
      </c>
      <c r="D38" s="4" t="n">
        <v>2</v>
      </c>
      <c r="E38" s="5" t="n">
        <v>28160</v>
      </c>
      <c r="F38" s="5">
        <f>D38*E38</f>
        <v/>
      </c>
      <c r="G38" s="5" t="n">
        <v>21120</v>
      </c>
      <c r="H38" s="5">
        <f>ROUND(D38*G38*1.19,0)</f>
        <v/>
      </c>
      <c r="I38" s="5" t="n">
        <v>55783</v>
      </c>
      <c r="J38" s="5" t="n">
        <v>66939</v>
      </c>
      <c r="K38" s="5">
        <f>D38*I38</f>
        <v/>
      </c>
      <c r="L38" s="5">
        <f>D38*J38</f>
        <v/>
      </c>
      <c r="M38" s="5">
        <f>H38+Q38</f>
        <v/>
      </c>
      <c r="N38" s="5">
        <f>K38-M38</f>
        <v/>
      </c>
      <c r="O38" s="5">
        <f>L38-M38</f>
        <v/>
      </c>
      <c r="P38" s="5">
        <f>ROUND((E38-G38)*D38,0)</f>
        <v/>
      </c>
      <c r="Q38" s="5">
        <f>D38*10000</f>
        <v/>
      </c>
      <c r="R38" s="5">
        <f>K38-H38</f>
        <v/>
      </c>
      <c r="S38" s="5">
        <f>L38-H38</f>
        <v/>
      </c>
    </row>
    <row r="39">
      <c r="A39" s="3" t="inlineStr">
        <is>
          <t>KTR-4212</t>
        </is>
      </c>
      <c r="B39" s="3" t="inlineStr">
        <is>
          <t>Terminal Dir Accent Vision DER / Kia Rio Xcite DER</t>
        </is>
      </c>
      <c r="C39" s="3" t="inlineStr">
        <is>
          <t>Hyundai/Kia</t>
        </is>
      </c>
      <c r="D39" s="4" t="n">
        <v>2</v>
      </c>
      <c r="E39" s="5" t="n">
        <v>28160</v>
      </c>
      <c r="F39" s="5">
        <f>D39*E39</f>
        <v/>
      </c>
      <c r="G39" s="5" t="n">
        <v>21120</v>
      </c>
      <c r="H39" s="5">
        <f>ROUND(D39*G39*1.19,0)</f>
        <v/>
      </c>
      <c r="I39" s="5" t="n">
        <v>55783</v>
      </c>
      <c r="J39" s="5" t="n">
        <v>66939</v>
      </c>
      <c r="K39" s="5">
        <f>D39*I39</f>
        <v/>
      </c>
      <c r="L39" s="5">
        <f>D39*J39</f>
        <v/>
      </c>
      <c r="M39" s="5">
        <f>H39+Q39</f>
        <v/>
      </c>
      <c r="N39" s="5">
        <f>K39-M39</f>
        <v/>
      </c>
      <c r="O39" s="5">
        <f>L39-M39</f>
        <v/>
      </c>
      <c r="P39" s="5">
        <f>ROUND((E39-G39)*D39,0)</f>
        <v/>
      </c>
      <c r="Q39" s="5">
        <f>D39*10000</f>
        <v/>
      </c>
      <c r="R39" s="5">
        <f>K39-H39</f>
        <v/>
      </c>
      <c r="S39" s="5">
        <f>L39-H39</f>
        <v/>
      </c>
    </row>
    <row r="40">
      <c r="A40" s="3" t="inlineStr">
        <is>
          <t>KSL-2014</t>
        </is>
      </c>
      <c r="B40" s="3" t="inlineStr">
        <is>
          <t>Bieleta Estab. Hyundai i10 Del DER / Grand i10 / Elantra / Kia Picanto Morning</t>
        </is>
      </c>
      <c r="C40" s="3" t="inlineStr">
        <is>
          <t>Hyundai/Kia</t>
        </is>
      </c>
      <c r="D40" s="4" t="n">
        <v>2</v>
      </c>
      <c r="E40" s="5" t="n">
        <v>18390</v>
      </c>
      <c r="F40" s="5">
        <f>D40*E40</f>
        <v/>
      </c>
      <c r="G40" s="5" t="n">
        <v>13793</v>
      </c>
      <c r="H40" s="5">
        <f>ROUND(D40*G40*1.19,0)</f>
        <v/>
      </c>
      <c r="I40" s="5" t="n">
        <v>40877</v>
      </c>
      <c r="J40" s="5" t="n">
        <v>49052</v>
      </c>
      <c r="K40" s="5">
        <f>D40*I40</f>
        <v/>
      </c>
      <c r="L40" s="5">
        <f>D40*J40</f>
        <v/>
      </c>
      <c r="M40" s="5">
        <f>H40+Q40</f>
        <v/>
      </c>
      <c r="N40" s="5">
        <f>K40-M40</f>
        <v/>
      </c>
      <c r="O40" s="5">
        <f>L40-M40</f>
        <v/>
      </c>
      <c r="P40" s="5">
        <f>ROUND((E40-G40)*D40,0)</f>
        <v/>
      </c>
      <c r="Q40" s="5">
        <f>D40*10000</f>
        <v/>
      </c>
      <c r="R40" s="5">
        <f>K40-H40</f>
        <v/>
      </c>
      <c r="S40" s="5">
        <f>L40-H40</f>
        <v/>
      </c>
    </row>
    <row r="41">
      <c r="A41" s="3" t="inlineStr">
        <is>
          <t>KRE-3102</t>
        </is>
      </c>
      <c r="B41" s="3" t="inlineStr">
        <is>
          <t>Terminal Axial Accent Vision / Kia Rio Xcite</t>
        </is>
      </c>
      <c r="C41" s="3" t="inlineStr">
        <is>
          <t>Hyundai/Kia</t>
        </is>
      </c>
      <c r="D41" s="4" t="n">
        <v>2</v>
      </c>
      <c r="E41" s="5" t="n">
        <v>26490</v>
      </c>
      <c r="F41" s="5">
        <f>D41*E41</f>
        <v/>
      </c>
      <c r="G41" s="5" t="n">
        <v>19868</v>
      </c>
      <c r="H41" s="5">
        <f>ROUND(D41*G41*1.19,0)</f>
        <v/>
      </c>
      <c r="I41" s="5" t="n">
        <v>53235</v>
      </c>
      <c r="J41" s="5" t="n">
        <v>63882</v>
      </c>
      <c r="K41" s="5">
        <f>D41*I41</f>
        <v/>
      </c>
      <c r="L41" s="5">
        <f>D41*J41</f>
        <v/>
      </c>
      <c r="M41" s="5">
        <f>H41+Q41</f>
        <v/>
      </c>
      <c r="N41" s="5">
        <f>K41-M41</f>
        <v/>
      </c>
      <c r="O41" s="5">
        <f>L41-M41</f>
        <v/>
      </c>
      <c r="P41" s="5">
        <f>ROUND((E41-G41)*D41,0)</f>
        <v/>
      </c>
      <c r="Q41" s="5">
        <f>D41*10000</f>
        <v/>
      </c>
      <c r="R41" s="5">
        <f>K41-H41</f>
        <v/>
      </c>
      <c r="S41" s="5">
        <f>L41-H41</f>
        <v/>
      </c>
    </row>
    <row r="42">
      <c r="A42" s="3" t="inlineStr">
        <is>
          <t>KSL-2003</t>
        </is>
      </c>
      <c r="B42" s="3" t="inlineStr">
        <is>
          <t>Bieleta Estab. Accent Vision / Kia Rio Xcite IZQ</t>
        </is>
      </c>
      <c r="C42" s="3" t="inlineStr">
        <is>
          <t>Hyundai/Kia</t>
        </is>
      </c>
      <c r="D42" s="4" t="n">
        <v>2</v>
      </c>
      <c r="E42" s="5" t="n">
        <v>20020</v>
      </c>
      <c r="F42" s="5">
        <f>D42*E42</f>
        <v/>
      </c>
      <c r="G42" s="5" t="n">
        <v>15015</v>
      </c>
      <c r="H42" s="5">
        <f>ROUND(D42*G42*1.19,0)</f>
        <v/>
      </c>
      <c r="I42" s="5" t="n">
        <v>43364</v>
      </c>
      <c r="J42" s="5" t="n">
        <v>52037</v>
      </c>
      <c r="K42" s="5">
        <f>D42*I42</f>
        <v/>
      </c>
      <c r="L42" s="5">
        <f>D42*J42</f>
        <v/>
      </c>
      <c r="M42" s="5">
        <f>H42+Q42</f>
        <v/>
      </c>
      <c r="N42" s="5">
        <f>K42-M42</f>
        <v/>
      </c>
      <c r="O42" s="5">
        <f>L42-M42</f>
        <v/>
      </c>
      <c r="P42" s="5">
        <f>ROUND((E42-G42)*D42,0)</f>
        <v/>
      </c>
      <c r="Q42" s="5">
        <f>D42*10000</f>
        <v/>
      </c>
      <c r="R42" s="5">
        <f>K42-H42</f>
        <v/>
      </c>
      <c r="S42" s="5">
        <f>L42-H42</f>
        <v/>
      </c>
    </row>
    <row r="43">
      <c r="A43" s="3" t="inlineStr">
        <is>
          <t>KSL-2002</t>
        </is>
      </c>
      <c r="B43" s="3" t="inlineStr">
        <is>
          <t>Bieleta Estab. Accent Vision / Kia Rio Xcite DER</t>
        </is>
      </c>
      <c r="C43" s="3" t="inlineStr">
        <is>
          <t>Hyundai/Kia</t>
        </is>
      </c>
      <c r="D43" s="4" t="n">
        <v>2</v>
      </c>
      <c r="E43" s="5" t="n">
        <v>20020</v>
      </c>
      <c r="F43" s="5">
        <f>D43*E43</f>
        <v/>
      </c>
      <c r="G43" s="5" t="n">
        <v>15015</v>
      </c>
      <c r="H43" s="5">
        <f>ROUND(D43*G43*1.19,0)</f>
        <v/>
      </c>
      <c r="I43" s="5" t="n">
        <v>43364</v>
      </c>
      <c r="J43" s="5" t="n">
        <v>52037</v>
      </c>
      <c r="K43" s="5">
        <f>D43*I43</f>
        <v/>
      </c>
      <c r="L43" s="5">
        <f>D43*J43</f>
        <v/>
      </c>
      <c r="M43" s="5">
        <f>H43+Q43</f>
        <v/>
      </c>
      <c r="N43" s="5">
        <f>K43-M43</f>
        <v/>
      </c>
      <c r="O43" s="5">
        <f>L43-M43</f>
        <v/>
      </c>
      <c r="P43" s="5">
        <f>ROUND((E43-G43)*D43,0)</f>
        <v/>
      </c>
      <c r="Q43" s="5">
        <f>D43*10000</f>
        <v/>
      </c>
      <c r="R43" s="5">
        <f>K43-H43</f>
        <v/>
      </c>
      <c r="S43" s="5">
        <f>L43-H43</f>
        <v/>
      </c>
    </row>
    <row r="44">
      <c r="A44" s="3" t="inlineStr">
        <is>
          <t>KSL-2013</t>
        </is>
      </c>
      <c r="B44" s="3" t="inlineStr">
        <is>
          <t>Bieleta Estab. Hyundai i10 Del IZQ / Grand i10 / Elantra / Kia Picanto Morning</t>
        </is>
      </c>
      <c r="C44" s="3" t="inlineStr">
        <is>
          <t>Hyundai/Kia</t>
        </is>
      </c>
      <c r="D44" s="4" t="n">
        <v>2</v>
      </c>
      <c r="E44" s="5" t="n">
        <v>18390</v>
      </c>
      <c r="F44" s="5">
        <f>D44*E44</f>
        <v/>
      </c>
      <c r="G44" s="5" t="n">
        <v>13793</v>
      </c>
      <c r="H44" s="5">
        <f>ROUND(D44*G44*1.19,0)</f>
        <v/>
      </c>
      <c r="I44" s="5" t="n">
        <v>40877</v>
      </c>
      <c r="J44" s="5" t="n">
        <v>49052</v>
      </c>
      <c r="K44" s="5">
        <f>D44*I44</f>
        <v/>
      </c>
      <c r="L44" s="5">
        <f>D44*J44</f>
        <v/>
      </c>
      <c r="M44" s="5">
        <f>H44+Q44</f>
        <v/>
      </c>
      <c r="N44" s="5">
        <f>K44-M44</f>
        <v/>
      </c>
      <c r="O44" s="5">
        <f>L44-M44</f>
        <v/>
      </c>
      <c r="P44" s="5">
        <f>ROUND((E44-G44)*D44,0)</f>
        <v/>
      </c>
      <c r="Q44" s="5">
        <f>D44*10000</f>
        <v/>
      </c>
      <c r="R44" s="5">
        <f>K44-H44</f>
        <v/>
      </c>
      <c r="S44" s="5">
        <f>L44-H44</f>
        <v/>
      </c>
    </row>
    <row r="45">
      <c r="A45" s="3" t="inlineStr">
        <is>
          <t>KSA-HY014</t>
        </is>
      </c>
      <c r="B45" s="3" t="inlineStr">
        <is>
          <t>Amortiguador Accent Vision / Kia Rio Xcite DEL DER</t>
        </is>
      </c>
      <c r="C45" s="3" t="inlineStr">
        <is>
          <t>Hyundai/Kia</t>
        </is>
      </c>
      <c r="D45" s="4" t="n">
        <v>1</v>
      </c>
      <c r="E45" s="5" t="n">
        <v>117260</v>
      </c>
      <c r="F45" s="5">
        <f>D45*E45</f>
        <v/>
      </c>
      <c r="G45" s="5" t="n">
        <v>87945</v>
      </c>
      <c r="H45" s="5">
        <f>ROUND(D45*G45*1.19,0)</f>
        <v/>
      </c>
      <c r="I45" s="5" t="n">
        <v>191717</v>
      </c>
      <c r="J45" s="5" t="n">
        <v>230061</v>
      </c>
      <c r="K45" s="5">
        <f>D45*I45</f>
        <v/>
      </c>
      <c r="L45" s="5">
        <f>D45*J45</f>
        <v/>
      </c>
      <c r="M45" s="5">
        <f>H45+Q45</f>
        <v/>
      </c>
      <c r="N45" s="5">
        <f>K45-M45</f>
        <v/>
      </c>
      <c r="O45" s="5">
        <f>L45-M45</f>
        <v/>
      </c>
      <c r="P45" s="5">
        <f>ROUND((E45-G45)*D45,0)</f>
        <v/>
      </c>
      <c r="Q45" s="5">
        <f>D45*10000</f>
        <v/>
      </c>
      <c r="R45" s="5">
        <f>K45-H45</f>
        <v/>
      </c>
      <c r="S45" s="5">
        <f>L45-H45</f>
        <v/>
      </c>
    </row>
    <row r="46">
      <c r="A46" s="3" t="inlineStr">
        <is>
          <t>KSA-HY015</t>
        </is>
      </c>
      <c r="B46" s="3" t="inlineStr">
        <is>
          <t>Amortiguador Accent Vision / Kia Rio Xcite DEL IZQ</t>
        </is>
      </c>
      <c r="C46" s="3" t="inlineStr">
        <is>
          <t>Hyundai/Kia</t>
        </is>
      </c>
      <c r="D46" s="4" t="n">
        <v>1</v>
      </c>
      <c r="E46" s="5" t="n">
        <v>117260</v>
      </c>
      <c r="F46" s="5">
        <f>D46*E46</f>
        <v/>
      </c>
      <c r="G46" s="5" t="n">
        <v>87945</v>
      </c>
      <c r="H46" s="5">
        <f>ROUND(D46*G46*1.19,0)</f>
        <v/>
      </c>
      <c r="I46" s="5" t="n">
        <v>191717</v>
      </c>
      <c r="J46" s="5" t="n">
        <v>230061</v>
      </c>
      <c r="K46" s="5">
        <f>D46*I46</f>
        <v/>
      </c>
      <c r="L46" s="5">
        <f>D46*J46</f>
        <v/>
      </c>
      <c r="M46" s="5">
        <f>H46+Q46</f>
        <v/>
      </c>
      <c r="N46" s="5">
        <f>K46-M46</f>
        <v/>
      </c>
      <c r="O46" s="5">
        <f>L46-M46</f>
        <v/>
      </c>
      <c r="P46" s="5">
        <f>ROUND((E46-G46)*D46,0)</f>
        <v/>
      </c>
      <c r="Q46" s="5">
        <f>D46*10000</f>
        <v/>
      </c>
      <c r="R46" s="5">
        <f>K46-H46</f>
        <v/>
      </c>
      <c r="S46" s="5">
        <f>L46-H46</f>
        <v/>
      </c>
    </row>
    <row r="47">
      <c r="A47" s="3" t="inlineStr">
        <is>
          <t>KBJ-4023</t>
        </is>
      </c>
      <c r="B47" s="3" t="inlineStr">
        <is>
          <t>Rótula Hyundai i10 EON / Kia Picanto Morning Presión</t>
        </is>
      </c>
      <c r="C47" s="3" t="inlineStr">
        <is>
          <t>Hyundai/Kia</t>
        </is>
      </c>
      <c r="D47" s="4" t="n">
        <v>2</v>
      </c>
      <c r="E47" s="5" t="n">
        <v>19980</v>
      </c>
      <c r="F47" s="5">
        <f>D47*E47</f>
        <v/>
      </c>
      <c r="G47" s="5" t="n">
        <v>14985</v>
      </c>
      <c r="H47" s="5">
        <f>ROUND(D47*G47*1.19,0)</f>
        <v/>
      </c>
      <c r="I47" s="5" t="n">
        <v>43303</v>
      </c>
      <c r="J47" s="5" t="n">
        <v>51963</v>
      </c>
      <c r="K47" s="5">
        <f>D47*I47</f>
        <v/>
      </c>
      <c r="L47" s="5">
        <f>D47*J47</f>
        <v/>
      </c>
      <c r="M47" s="5">
        <f>H47+Q47</f>
        <v/>
      </c>
      <c r="N47" s="5">
        <f>K47-M47</f>
        <v/>
      </c>
      <c r="O47" s="5">
        <f>L47-M47</f>
        <v/>
      </c>
      <c r="P47" s="5">
        <f>ROUND((E47-G47)*D47,0)</f>
        <v/>
      </c>
      <c r="Q47" s="5">
        <f>D47*10000</f>
        <v/>
      </c>
      <c r="R47" s="5">
        <f>K47-H47</f>
        <v/>
      </c>
      <c r="S47" s="5">
        <f>L47-H47</f>
        <v/>
      </c>
    </row>
    <row r="48">
      <c r="A48" s="3" t="inlineStr">
        <is>
          <t>KSA-HY016</t>
        </is>
      </c>
      <c r="B48" s="3" t="inlineStr">
        <is>
          <t>Amortiguador Accent Vision / Kia Rio Xcite TRAS (x2)</t>
        </is>
      </c>
      <c r="C48" s="3" t="inlineStr">
        <is>
          <t>Hyundai/Kia</t>
        </is>
      </c>
      <c r="D48" s="4" t="n">
        <v>2</v>
      </c>
      <c r="E48" s="5" t="n">
        <v>63230</v>
      </c>
      <c r="F48" s="5">
        <f>D48*E48</f>
        <v/>
      </c>
      <c r="G48" s="5" t="n">
        <v>47423</v>
      </c>
      <c r="H48" s="5">
        <f>ROUND(D48*G48*1.19,0)</f>
        <v/>
      </c>
      <c r="I48" s="5" t="n">
        <v>109287</v>
      </c>
      <c r="J48" s="5" t="n">
        <v>131144</v>
      </c>
      <c r="K48" s="5">
        <f>D48*I48</f>
        <v/>
      </c>
      <c r="L48" s="5">
        <f>D48*J48</f>
        <v/>
      </c>
      <c r="M48" s="5">
        <f>H48+Q48</f>
        <v/>
      </c>
      <c r="N48" s="5">
        <f>K48-M48</f>
        <v/>
      </c>
      <c r="O48" s="5">
        <f>L48-M48</f>
        <v/>
      </c>
      <c r="P48" s="5">
        <f>ROUND((E48-G48)*D48,0)</f>
        <v/>
      </c>
      <c r="Q48" s="5">
        <f>D48*10000</f>
        <v/>
      </c>
      <c r="R48" s="5">
        <f>K48-H48</f>
        <v/>
      </c>
      <c r="S48" s="5">
        <f>L48-H48</f>
        <v/>
      </c>
    </row>
    <row r="49">
      <c r="A49" s="3" t="inlineStr">
        <is>
          <t>KSA-KI024</t>
        </is>
      </c>
      <c r="B49" s="3" t="inlineStr">
        <is>
          <t>Amortiguador Picanto ION Delantero Der GAS</t>
        </is>
      </c>
      <c r="C49" s="3" t="inlineStr">
        <is>
          <t>Kia</t>
        </is>
      </c>
      <c r="D49" s="4" t="n">
        <v>1</v>
      </c>
      <c r="E49" s="5" t="n">
        <v>90640</v>
      </c>
      <c r="F49" s="5">
        <f>D49*E49</f>
        <v/>
      </c>
      <c r="G49" s="5" t="n">
        <v>67980</v>
      </c>
      <c r="H49" s="5">
        <f>ROUND(D49*G49*1.19,0)</f>
        <v/>
      </c>
      <c r="I49" s="5" t="n">
        <v>151105</v>
      </c>
      <c r="J49" s="5" t="n">
        <v>181326</v>
      </c>
      <c r="K49" s="5">
        <f>D49*I49</f>
        <v/>
      </c>
      <c r="L49" s="5">
        <f>D49*J49</f>
        <v/>
      </c>
      <c r="M49" s="5">
        <f>H49+Q49</f>
        <v/>
      </c>
      <c r="N49" s="5">
        <f>K49-M49</f>
        <v/>
      </c>
      <c r="O49" s="5">
        <f>L49-M49</f>
        <v/>
      </c>
      <c r="P49" s="5">
        <f>ROUND((E49-G49)*D49,0)</f>
        <v/>
      </c>
      <c r="Q49" s="5">
        <f>D49*10000</f>
        <v/>
      </c>
      <c r="R49" s="5">
        <f>K49-H49</f>
        <v/>
      </c>
      <c r="S49" s="5">
        <f>L49-H49</f>
        <v/>
      </c>
    </row>
    <row r="50">
      <c r="A50" s="3" t="inlineStr">
        <is>
          <t>KTR-4217</t>
        </is>
      </c>
      <c r="B50" s="3" t="inlineStr">
        <is>
          <t>Terminal Dirección Picanto 17-12 ION Xtreme 1.2 IZQ</t>
        </is>
      </c>
      <c r="C50" s="3" t="inlineStr">
        <is>
          <t>Kia</t>
        </is>
      </c>
      <c r="D50" s="4" t="n">
        <v>2</v>
      </c>
      <c r="E50" s="5" t="n">
        <v>31280</v>
      </c>
      <c r="F50" s="5">
        <f>D50*E50</f>
        <v/>
      </c>
      <c r="G50" s="5" t="n">
        <v>23460</v>
      </c>
      <c r="H50" s="5">
        <f>ROUND(D50*G50*1.19,0)</f>
        <v/>
      </c>
      <c r="I50" s="5" t="n">
        <v>60543</v>
      </c>
      <c r="J50" s="5" t="n">
        <v>72651</v>
      </c>
      <c r="K50" s="5">
        <f>D50*I50</f>
        <v/>
      </c>
      <c r="L50" s="5">
        <f>D50*J50</f>
        <v/>
      </c>
      <c r="M50" s="5">
        <f>H50+Q50</f>
        <v/>
      </c>
      <c r="N50" s="5">
        <f>K50-M50</f>
        <v/>
      </c>
      <c r="O50" s="5">
        <f>L50-M50</f>
        <v/>
      </c>
      <c r="P50" s="5">
        <f>ROUND((E50-G50)*D50,0)</f>
        <v/>
      </c>
      <c r="Q50" s="5">
        <f>D50*10000</f>
        <v/>
      </c>
      <c r="R50" s="5">
        <f>K50-H50</f>
        <v/>
      </c>
      <c r="S50" s="5">
        <f>L50-H50</f>
        <v/>
      </c>
    </row>
    <row r="51">
      <c r="A51" s="3" t="inlineStr">
        <is>
          <t>KTR-4223</t>
        </is>
      </c>
      <c r="B51" s="3" t="inlineStr">
        <is>
          <t>Terminal Dirección Picanto 20-18 ION IZQ</t>
        </is>
      </c>
      <c r="C51" s="3" t="inlineStr">
        <is>
          <t>Kia</t>
        </is>
      </c>
      <c r="D51" s="4" t="n">
        <v>2</v>
      </c>
      <c r="E51" s="5" t="n">
        <v>28470</v>
      </c>
      <c r="F51" s="5">
        <f>D51*E51</f>
        <v/>
      </c>
      <c r="G51" s="5" t="n">
        <v>21353</v>
      </c>
      <c r="H51" s="5">
        <f>ROUND(D51*G51*1.19,0)</f>
        <v/>
      </c>
      <c r="I51" s="5" t="n">
        <v>56256</v>
      </c>
      <c r="J51" s="5" t="n">
        <v>67507</v>
      </c>
      <c r="K51" s="5">
        <f>D51*I51</f>
        <v/>
      </c>
      <c r="L51" s="5">
        <f>D51*J51</f>
        <v/>
      </c>
      <c r="M51" s="5">
        <f>H51+Q51</f>
        <v/>
      </c>
      <c r="N51" s="5">
        <f>K51-M51</f>
        <v/>
      </c>
      <c r="O51" s="5">
        <f>L51-M51</f>
        <v/>
      </c>
      <c r="P51" s="5">
        <f>ROUND((E51-G51)*D51,0)</f>
        <v/>
      </c>
      <c r="Q51" s="5">
        <f>D51*10000</f>
        <v/>
      </c>
      <c r="R51" s="5">
        <f>K51-H51</f>
        <v/>
      </c>
      <c r="S51" s="5">
        <f>L51-H51</f>
        <v/>
      </c>
    </row>
    <row r="52">
      <c r="A52" s="3" t="inlineStr">
        <is>
          <t>KTR-4222</t>
        </is>
      </c>
      <c r="B52" s="3" t="inlineStr">
        <is>
          <t>Terminal Dir Kia Picanto 20-18 ION DER</t>
        </is>
      </c>
      <c r="C52" s="3" t="inlineStr">
        <is>
          <t>Kia</t>
        </is>
      </c>
      <c r="D52" s="4" t="n">
        <v>2</v>
      </c>
      <c r="E52" s="5" t="n">
        <v>28470</v>
      </c>
      <c r="F52" s="5">
        <f>D52*E52</f>
        <v/>
      </c>
      <c r="G52" s="5" t="n">
        <v>21353</v>
      </c>
      <c r="H52" s="5">
        <f>ROUND(D52*G52*1.19,0)</f>
        <v/>
      </c>
      <c r="I52" s="5" t="n">
        <v>56256</v>
      </c>
      <c r="J52" s="5" t="n">
        <v>67507</v>
      </c>
      <c r="K52" s="5">
        <f>D52*I52</f>
        <v/>
      </c>
      <c r="L52" s="5">
        <f>D52*J52</f>
        <v/>
      </c>
      <c r="M52" s="5">
        <f>H52+Q52</f>
        <v/>
      </c>
      <c r="N52" s="5">
        <f>K52-M52</f>
        <v/>
      </c>
      <c r="O52" s="5">
        <f>L52-M52</f>
        <v/>
      </c>
      <c r="P52" s="5">
        <f>ROUND((E52-G52)*D52,0)</f>
        <v/>
      </c>
      <c r="Q52" s="5">
        <f>D52*10000</f>
        <v/>
      </c>
      <c r="R52" s="5">
        <f>K52-H52</f>
        <v/>
      </c>
      <c r="S52" s="5">
        <f>L52-H52</f>
        <v/>
      </c>
    </row>
    <row r="53">
      <c r="A53" s="3" t="inlineStr">
        <is>
          <t>KSA-KI025</t>
        </is>
      </c>
      <c r="B53" s="3" t="inlineStr">
        <is>
          <t>Amortiguador Kia Picanto 17-13 ION Del IZQ GAS</t>
        </is>
      </c>
      <c r="C53" s="3" t="inlineStr">
        <is>
          <t>Kia</t>
        </is>
      </c>
      <c r="D53" s="4" t="n">
        <v>1</v>
      </c>
      <c r="E53" s="5" t="n">
        <v>90640</v>
      </c>
      <c r="F53" s="5">
        <f>D53*E53</f>
        <v/>
      </c>
      <c r="G53" s="5" t="n">
        <v>67980</v>
      </c>
      <c r="H53" s="5">
        <f>ROUND(D53*G53*1.19,0)</f>
        <v/>
      </c>
      <c r="I53" s="5" t="n">
        <v>151105</v>
      </c>
      <c r="J53" s="5" t="n">
        <v>181326</v>
      </c>
      <c r="K53" s="5">
        <f>D53*I53</f>
        <v/>
      </c>
      <c r="L53" s="5">
        <f>D53*J53</f>
        <v/>
      </c>
      <c r="M53" s="5">
        <f>H53+Q53</f>
        <v/>
      </c>
      <c r="N53" s="5">
        <f>K53-M53</f>
        <v/>
      </c>
      <c r="O53" s="5">
        <f>L53-M53</f>
        <v/>
      </c>
      <c r="P53" s="5">
        <f>ROUND((E53-G53)*D53,0)</f>
        <v/>
      </c>
      <c r="Q53" s="5">
        <f>D53*10000</f>
        <v/>
      </c>
      <c r="R53" s="5">
        <f>K53-H53</f>
        <v/>
      </c>
      <c r="S53" s="5">
        <f>L53-H53</f>
        <v/>
      </c>
    </row>
    <row r="54">
      <c r="A54" s="3" t="inlineStr">
        <is>
          <t>KRE-3114</t>
        </is>
      </c>
      <c r="B54" s="3" t="inlineStr">
        <is>
          <t>Terminal Axial Kia Picanto ION / Hyundai i10 Hidráulico</t>
        </is>
      </c>
      <c r="C54" s="3" t="inlineStr">
        <is>
          <t>Kia/Hyundai</t>
        </is>
      </c>
      <c r="D54" s="4" t="n">
        <v>2</v>
      </c>
      <c r="E54" s="5" t="n">
        <v>22040</v>
      </c>
      <c r="F54" s="5">
        <f>D54*E54</f>
        <v/>
      </c>
      <c r="G54" s="5" t="n">
        <v>16530</v>
      </c>
      <c r="H54" s="5">
        <f>ROUND(D54*G54*1.19,0)</f>
        <v/>
      </c>
      <c r="I54" s="5" t="n">
        <v>46446</v>
      </c>
      <c r="J54" s="5" t="n">
        <v>55735</v>
      </c>
      <c r="K54" s="5">
        <f>D54*I54</f>
        <v/>
      </c>
      <c r="L54" s="5">
        <f>D54*J54</f>
        <v/>
      </c>
      <c r="M54" s="5">
        <f>H54+Q54</f>
        <v/>
      </c>
      <c r="N54" s="5">
        <f>K54-M54</f>
        <v/>
      </c>
      <c r="O54" s="5">
        <f>L54-M54</f>
        <v/>
      </c>
      <c r="P54" s="5">
        <f>ROUND((E54-G54)*D54,0)</f>
        <v/>
      </c>
      <c r="Q54" s="5">
        <f>D54*10000</f>
        <v/>
      </c>
      <c r="R54" s="5">
        <f>K54-H54</f>
        <v/>
      </c>
      <c r="S54" s="5">
        <f>L54-H54</f>
        <v/>
      </c>
    </row>
    <row r="55">
      <c r="A55" s="3" t="inlineStr">
        <is>
          <t>KBJ-4030</t>
        </is>
      </c>
      <c r="B55" s="3" t="inlineStr">
        <is>
          <t>Rótula Kia Picanto ION-Spice 1 Soul / Hyundai i10 Grand Presión</t>
        </is>
      </c>
      <c r="C55" s="3" t="inlineStr">
        <is>
          <t>Kia/Hyundai</t>
        </is>
      </c>
      <c r="D55" s="4" t="n">
        <v>2</v>
      </c>
      <c r="E55" s="5" t="n">
        <v>19840</v>
      </c>
      <c r="F55" s="5">
        <f>D55*E55</f>
        <v/>
      </c>
      <c r="G55" s="5" t="n">
        <v>14880</v>
      </c>
      <c r="H55" s="5">
        <f>ROUND(D55*G55*1.19,0)</f>
        <v/>
      </c>
      <c r="I55" s="5" t="n">
        <v>43089</v>
      </c>
      <c r="J55" s="5" t="n">
        <v>51707</v>
      </c>
      <c r="K55" s="5">
        <f>D55*I55</f>
        <v/>
      </c>
      <c r="L55" s="5">
        <f>D55*J55</f>
        <v/>
      </c>
      <c r="M55" s="5">
        <f>H55+Q55</f>
        <v/>
      </c>
      <c r="N55" s="5">
        <f>K55-M55</f>
        <v/>
      </c>
      <c r="O55" s="5">
        <f>L55-M55</f>
        <v/>
      </c>
      <c r="P55" s="5">
        <f>ROUND((E55-G55)*D55,0)</f>
        <v/>
      </c>
      <c r="Q55" s="5">
        <f>D55*10000</f>
        <v/>
      </c>
      <c r="R55" s="5">
        <f>K55-H55</f>
        <v/>
      </c>
      <c r="S55" s="5">
        <f>L55-H55</f>
        <v/>
      </c>
    </row>
    <row r="56">
      <c r="A56" s="3" t="inlineStr">
        <is>
          <t>KBJ-4042</t>
        </is>
      </c>
      <c r="B56" s="3" t="inlineStr">
        <is>
          <t>Rótula BT-50 4x2 4x4 SUP Gasol B2000-2200 SUP</t>
        </is>
      </c>
      <c r="C56" s="3" t="inlineStr">
        <is>
          <t>Mazda</t>
        </is>
      </c>
      <c r="D56" s="4" t="n">
        <v>2</v>
      </c>
      <c r="E56" s="5" t="n">
        <v>26360</v>
      </c>
      <c r="F56" s="5">
        <f>D56*E56</f>
        <v/>
      </c>
      <c r="G56" s="5" t="n">
        <v>19770</v>
      </c>
      <c r="H56" s="5">
        <f>ROUND(D56*G56*1.19,0)</f>
        <v/>
      </c>
      <c r="I56" s="5" t="n">
        <v>53036</v>
      </c>
      <c r="J56" s="5" t="n">
        <v>63644</v>
      </c>
      <c r="K56" s="5">
        <f>D56*I56</f>
        <v/>
      </c>
      <c r="L56" s="5">
        <f>D56*J56</f>
        <v/>
      </c>
      <c r="M56" s="5">
        <f>H56+Q56</f>
        <v/>
      </c>
      <c r="N56" s="5">
        <f>K56-M56</f>
        <v/>
      </c>
      <c r="O56" s="5">
        <f>L56-M56</f>
        <v/>
      </c>
      <c r="P56" s="5">
        <f>ROUND((E56-G56)*D56,0)</f>
        <v/>
      </c>
      <c r="Q56" s="5">
        <f>D56*10000</f>
        <v/>
      </c>
      <c r="R56" s="5">
        <f>K56-H56</f>
        <v/>
      </c>
      <c r="S56" s="5">
        <f>L56-H56</f>
        <v/>
      </c>
    </row>
    <row r="57">
      <c r="A57" s="3" t="inlineStr">
        <is>
          <t>KTR-4302</t>
        </is>
      </c>
      <c r="B57" s="3" t="inlineStr">
        <is>
          <t>Terminal Dirección Mazda 2 15-08 IZQ</t>
        </is>
      </c>
      <c r="C57" s="3" t="inlineStr">
        <is>
          <t>Mazda</t>
        </is>
      </c>
      <c r="D57" s="4" t="n">
        <v>2</v>
      </c>
      <c r="E57" s="5" t="n">
        <v>35110</v>
      </c>
      <c r="F57" s="5">
        <f>D57*E57</f>
        <v/>
      </c>
      <c r="G57" s="5" t="n">
        <v>26333</v>
      </c>
      <c r="H57" s="5">
        <f>ROUND(D57*G57*1.19,0)</f>
        <v/>
      </c>
      <c r="I57" s="5" t="n">
        <v>66386</v>
      </c>
      <c r="J57" s="5" t="n">
        <v>79663</v>
      </c>
      <c r="K57" s="5">
        <f>D57*I57</f>
        <v/>
      </c>
      <c r="L57" s="5">
        <f>D57*J57</f>
        <v/>
      </c>
      <c r="M57" s="5">
        <f>H57+Q57</f>
        <v/>
      </c>
      <c r="N57" s="5">
        <f>K57-M57</f>
        <v/>
      </c>
      <c r="O57" s="5">
        <f>L57-M57</f>
        <v/>
      </c>
      <c r="P57" s="5">
        <f>ROUND((E57-G57)*D57,0)</f>
        <v/>
      </c>
      <c r="Q57" s="5">
        <f>D57*10000</f>
        <v/>
      </c>
      <c r="R57" s="5">
        <f>K57-H57</f>
        <v/>
      </c>
      <c r="S57" s="5">
        <f>L57-H57</f>
        <v/>
      </c>
    </row>
    <row r="58">
      <c r="A58" s="3" t="inlineStr">
        <is>
          <t>KBJ-4033</t>
        </is>
      </c>
      <c r="B58" s="3" t="inlineStr">
        <is>
          <t>ROTULA MAZDA 3 BK3P-34-300</t>
        </is>
      </c>
      <c r="C58" s="3" t="inlineStr">
        <is>
          <t>Mazda</t>
        </is>
      </c>
      <c r="D58" s="4" t="n">
        <v>2</v>
      </c>
      <c r="E58" s="5" t="n">
        <v>24990</v>
      </c>
      <c r="F58" s="5">
        <f>D58*E58</f>
        <v/>
      </c>
      <c r="G58" s="5" t="n">
        <v>18743</v>
      </c>
      <c r="H58" s="5">
        <f>ROUND(D58*G58*1.19,0)</f>
        <v/>
      </c>
      <c r="I58" s="5" t="n">
        <v>50946</v>
      </c>
      <c r="J58" s="5" t="n">
        <v>61136</v>
      </c>
      <c r="K58" s="5">
        <f>D58*I58</f>
        <v/>
      </c>
      <c r="L58" s="5">
        <f>D58*J58</f>
        <v/>
      </c>
      <c r="M58" s="5">
        <f>H58+Q58</f>
        <v/>
      </c>
      <c r="N58" s="5">
        <f>K58-M58</f>
        <v/>
      </c>
      <c r="O58" s="5">
        <f>L58-M58</f>
        <v/>
      </c>
      <c r="P58" s="5">
        <f>ROUND((E58-G58)*D58,0)</f>
        <v/>
      </c>
      <c r="Q58" s="5">
        <f>D58*10000</f>
        <v/>
      </c>
      <c r="R58" s="5">
        <f>K58-H58</f>
        <v/>
      </c>
      <c r="S58" s="5">
        <f>L58-H58</f>
        <v/>
      </c>
    </row>
    <row r="59">
      <c r="A59" s="3" t="inlineStr">
        <is>
          <t>KTR-4301</t>
        </is>
      </c>
      <c r="B59" s="3" t="inlineStr">
        <is>
          <t>Terminal Dir Mazda 2 15-08 DER</t>
        </is>
      </c>
      <c r="C59" s="3" t="inlineStr">
        <is>
          <t>Mazda</t>
        </is>
      </c>
      <c r="D59" s="4" t="n">
        <v>2</v>
      </c>
      <c r="E59" s="5" t="n">
        <v>33700</v>
      </c>
      <c r="F59" s="5">
        <f>D59*E59</f>
        <v/>
      </c>
      <c r="G59" s="5" t="n">
        <v>25275</v>
      </c>
      <c r="H59" s="5">
        <f>ROUND(D59*G59*1.19,0)</f>
        <v/>
      </c>
      <c r="I59" s="5" t="n">
        <v>64235</v>
      </c>
      <c r="J59" s="5" t="n">
        <v>77082</v>
      </c>
      <c r="K59" s="5">
        <f>D59*I59</f>
        <v/>
      </c>
      <c r="L59" s="5">
        <f>D59*J59</f>
        <v/>
      </c>
      <c r="M59" s="5">
        <f>H59+Q59</f>
        <v/>
      </c>
      <c r="N59" s="5">
        <f>K59-M59</f>
        <v/>
      </c>
      <c r="O59" s="5">
        <f>L59-M59</f>
        <v/>
      </c>
      <c r="P59" s="5">
        <f>ROUND((E59-G59)*D59,0)</f>
        <v/>
      </c>
      <c r="Q59" s="5">
        <f>D59*10000</f>
        <v/>
      </c>
      <c r="R59" s="5">
        <f>K59-H59</f>
        <v/>
      </c>
      <c r="S59" s="5">
        <f>L59-H59</f>
        <v/>
      </c>
    </row>
    <row r="60">
      <c r="A60" s="3" t="inlineStr">
        <is>
          <t>KSL-2108</t>
        </is>
      </c>
      <c r="B60" s="3" t="inlineStr">
        <is>
          <t>Bieleta Estab. Mazda 3 13-03 DEL</t>
        </is>
      </c>
      <c r="C60" s="3" t="inlineStr">
        <is>
          <t>Mazda</t>
        </is>
      </c>
      <c r="D60" s="4" t="n">
        <v>2</v>
      </c>
      <c r="E60" s="5" t="n">
        <v>20150</v>
      </c>
      <c r="F60" s="5">
        <f>D60*E60</f>
        <v/>
      </c>
      <c r="G60" s="5" t="n">
        <v>15113</v>
      </c>
      <c r="H60" s="5">
        <f>ROUND(D60*G60*1.19,0)</f>
        <v/>
      </c>
      <c r="I60" s="5" t="n">
        <v>43562</v>
      </c>
      <c r="J60" s="5" t="n">
        <v>52275</v>
      </c>
      <c r="K60" s="5">
        <f>D60*I60</f>
        <v/>
      </c>
      <c r="L60" s="5">
        <f>D60*J60</f>
        <v/>
      </c>
      <c r="M60" s="5">
        <f>H60+Q60</f>
        <v/>
      </c>
      <c r="N60" s="5">
        <f>K60-M60</f>
        <v/>
      </c>
      <c r="O60" s="5">
        <f>L60-M60</f>
        <v/>
      </c>
      <c r="P60" s="5">
        <f>ROUND((E60-G60)*D60,0)</f>
        <v/>
      </c>
      <c r="Q60" s="5">
        <f>D60*10000</f>
        <v/>
      </c>
      <c r="R60" s="5">
        <f>K60-H60</f>
        <v/>
      </c>
      <c r="S60" s="5">
        <f>L60-H60</f>
        <v/>
      </c>
    </row>
    <row r="61">
      <c r="A61" s="3" t="inlineStr">
        <is>
          <t>KSL-2103</t>
        </is>
      </c>
      <c r="B61" s="3" t="inlineStr">
        <is>
          <t>Bieleta Estab. Mazda 2 22-08 Skyactive / CX30-CX3 Skyactive Del</t>
        </is>
      </c>
      <c r="C61" s="3" t="inlineStr">
        <is>
          <t>Mazda</t>
        </is>
      </c>
      <c r="D61" s="4" t="n">
        <v>2</v>
      </c>
      <c r="E61" s="5" t="n">
        <v>21380</v>
      </c>
      <c r="F61" s="5">
        <f>D61*E61</f>
        <v/>
      </c>
      <c r="G61" s="5" t="n">
        <v>16035</v>
      </c>
      <c r="H61" s="5">
        <f>ROUND(D61*G61*1.19,0)</f>
        <v/>
      </c>
      <c r="I61" s="5" t="n">
        <v>45439</v>
      </c>
      <c r="J61" s="5" t="n">
        <v>54526</v>
      </c>
      <c r="K61" s="5">
        <f>D61*I61</f>
        <v/>
      </c>
      <c r="L61" s="5">
        <f>D61*J61</f>
        <v/>
      </c>
      <c r="M61" s="5">
        <f>H61+Q61</f>
        <v/>
      </c>
      <c r="N61" s="5">
        <f>K61-M61</f>
        <v/>
      </c>
      <c r="O61" s="5">
        <f>L61-M61</f>
        <v/>
      </c>
      <c r="P61" s="5">
        <f>ROUND((E61-G61)*D61,0)</f>
        <v/>
      </c>
      <c r="Q61" s="5">
        <f>D61*10000</f>
        <v/>
      </c>
      <c r="R61" s="5">
        <f>K61-H61</f>
        <v/>
      </c>
      <c r="S61" s="5">
        <f>L61-H61</f>
        <v/>
      </c>
    </row>
    <row r="62">
      <c r="A62" s="3" t="inlineStr">
        <is>
          <t>KRE-3202</t>
        </is>
      </c>
      <c r="B62" s="3" t="inlineStr">
        <is>
          <t>Terminal Axial Mazda 3 10-02</t>
        </is>
      </c>
      <c r="C62" s="3" t="inlineStr">
        <is>
          <t>Mazda</t>
        </is>
      </c>
      <c r="D62" s="4" t="n">
        <v>2</v>
      </c>
      <c r="E62" s="5" t="n">
        <v>25430</v>
      </c>
      <c r="F62" s="5">
        <f>D62*E62</f>
        <v/>
      </c>
      <c r="G62" s="5" t="n">
        <v>19073</v>
      </c>
      <c r="H62" s="5">
        <f>ROUND(D62*G62*1.19,0)</f>
        <v/>
      </c>
      <c r="I62" s="5" t="n">
        <v>51618</v>
      </c>
      <c r="J62" s="5" t="n">
        <v>61941</v>
      </c>
      <c r="K62" s="5">
        <f>D62*I62</f>
        <v/>
      </c>
      <c r="L62" s="5">
        <f>D62*J62</f>
        <v/>
      </c>
      <c r="M62" s="5">
        <f>H62+Q62</f>
        <v/>
      </c>
      <c r="N62" s="5">
        <f>K62-M62</f>
        <v/>
      </c>
      <c r="O62" s="5">
        <f>L62-M62</f>
        <v/>
      </c>
      <c r="P62" s="5">
        <f>ROUND((E62-G62)*D62,0)</f>
        <v/>
      </c>
      <c r="Q62" s="5">
        <f>D62*10000</f>
        <v/>
      </c>
      <c r="R62" s="5">
        <f>K62-H62</f>
        <v/>
      </c>
      <c r="S62" s="5">
        <f>L62-H62</f>
        <v/>
      </c>
    </row>
    <row r="63">
      <c r="A63" s="3" t="inlineStr">
        <is>
          <t>KTR-4304</t>
        </is>
      </c>
      <c r="B63" s="3" t="inlineStr">
        <is>
          <t>Terminal Dir Mazda 3 14-03 DER</t>
        </is>
      </c>
      <c r="C63" s="3" t="inlineStr">
        <is>
          <t>Mazda</t>
        </is>
      </c>
      <c r="D63" s="4" t="n">
        <v>2</v>
      </c>
      <c r="E63" s="5" t="n">
        <v>23540</v>
      </c>
      <c r="F63" s="5">
        <f>D63*E63</f>
        <v/>
      </c>
      <c r="G63" s="5" t="n">
        <v>17655</v>
      </c>
      <c r="H63" s="5">
        <f>ROUND(D63*G63*1.19,0)</f>
        <v/>
      </c>
      <c r="I63" s="5" t="n">
        <v>48734</v>
      </c>
      <c r="J63" s="5" t="n">
        <v>58481</v>
      </c>
      <c r="K63" s="5">
        <f>D63*I63</f>
        <v/>
      </c>
      <c r="L63" s="5">
        <f>D63*J63</f>
        <v/>
      </c>
      <c r="M63" s="5">
        <f>H63+Q63</f>
        <v/>
      </c>
      <c r="N63" s="5">
        <f>K63-M63</f>
        <v/>
      </c>
      <c r="O63" s="5">
        <f>L63-M63</f>
        <v/>
      </c>
      <c r="P63" s="5">
        <f>ROUND((E63-G63)*D63,0)</f>
        <v/>
      </c>
      <c r="Q63" s="5">
        <f>D63*10000</f>
        <v/>
      </c>
      <c r="R63" s="5">
        <f>K63-H63</f>
        <v/>
      </c>
      <c r="S63" s="5">
        <f>L63-H63</f>
        <v/>
      </c>
    </row>
    <row r="64">
      <c r="A64" s="3" t="inlineStr">
        <is>
          <t>KTR-4303</t>
        </is>
      </c>
      <c r="B64" s="3" t="inlineStr">
        <is>
          <t>Terminal Dir Mazda 3 14-03 IZQ</t>
        </is>
      </c>
      <c r="C64" s="3" t="inlineStr">
        <is>
          <t>Mazda</t>
        </is>
      </c>
      <c r="D64" s="4" t="n">
        <v>2</v>
      </c>
      <c r="E64" s="5" t="n">
        <v>23540</v>
      </c>
      <c r="F64" s="5">
        <f>D64*E64</f>
        <v/>
      </c>
      <c r="G64" s="5" t="n">
        <v>17655</v>
      </c>
      <c r="H64" s="5">
        <f>ROUND(D64*G64*1.19,0)</f>
        <v/>
      </c>
      <c r="I64" s="5" t="n">
        <v>48734</v>
      </c>
      <c r="J64" s="5" t="n">
        <v>58481</v>
      </c>
      <c r="K64" s="5">
        <f>D64*I64</f>
        <v/>
      </c>
      <c r="L64" s="5">
        <f>D64*J64</f>
        <v/>
      </c>
      <c r="M64" s="5">
        <f>H64+Q64</f>
        <v/>
      </c>
      <c r="N64" s="5">
        <f>K64-M64</f>
        <v/>
      </c>
      <c r="O64" s="5">
        <f>L64-M64</f>
        <v/>
      </c>
      <c r="P64" s="5">
        <f>ROUND((E64-G64)*D64,0)</f>
        <v/>
      </c>
      <c r="Q64" s="5">
        <f>D64*10000</f>
        <v/>
      </c>
      <c r="R64" s="5">
        <f>K64-H64</f>
        <v/>
      </c>
      <c r="S64" s="5">
        <f>L64-H64</f>
        <v/>
      </c>
    </row>
    <row r="65">
      <c r="A65" s="3" t="inlineStr">
        <is>
          <t>KSA-MA001</t>
        </is>
      </c>
      <c r="B65" s="3" t="inlineStr">
        <is>
          <t xml:space="preserve">Amortiguador Mazda 2 13-08 Del DER GAS </t>
        </is>
      </c>
      <c r="C65" s="3" t="inlineStr">
        <is>
          <t>Mazda 2</t>
        </is>
      </c>
      <c r="D65" s="4" t="n">
        <v>1</v>
      </c>
      <c r="E65" s="5" t="n">
        <v>119330</v>
      </c>
      <c r="F65" s="5">
        <f>D65*E65</f>
        <v/>
      </c>
      <c r="G65" s="5" t="n">
        <v>89498</v>
      </c>
      <c r="H65" s="5">
        <f>ROUND(D65*G65*1.19,0)</f>
        <v/>
      </c>
      <c r="I65" s="5" t="n">
        <v>194875</v>
      </c>
      <c r="J65" s="5" t="n">
        <v>233850</v>
      </c>
      <c r="K65" s="5">
        <f>D65*I65</f>
        <v/>
      </c>
      <c r="L65" s="5">
        <f>D65*J65</f>
        <v/>
      </c>
      <c r="M65" s="5">
        <f>H65+Q65</f>
        <v/>
      </c>
      <c r="N65" s="5">
        <f>K65-M65</f>
        <v/>
      </c>
      <c r="O65" s="5">
        <f>L65-M65</f>
        <v/>
      </c>
      <c r="P65" s="5">
        <f>ROUND((E65-G65)*D65,0)</f>
        <v/>
      </c>
      <c r="Q65" s="5">
        <f>D65*10000</f>
        <v/>
      </c>
      <c r="R65" s="5">
        <f>K65-H65</f>
        <v/>
      </c>
      <c r="S65" s="5">
        <f>L65-H65</f>
        <v/>
      </c>
    </row>
    <row r="66">
      <c r="A66" s="3" t="inlineStr">
        <is>
          <t>KSA-MA002</t>
        </is>
      </c>
      <c r="B66" s="3" t="inlineStr">
        <is>
          <t xml:space="preserve">Amortiguador Mazda 2 13-08 Del IZQ GAS </t>
        </is>
      </c>
      <c r="C66" s="3" t="inlineStr">
        <is>
          <t>Mazda 2</t>
        </is>
      </c>
      <c r="D66" s="4" t="n">
        <v>1</v>
      </c>
      <c r="E66" s="5" t="n">
        <v>119330</v>
      </c>
      <c r="F66" s="5">
        <f>D66*E66</f>
        <v/>
      </c>
      <c r="G66" s="5" t="n">
        <v>89498</v>
      </c>
      <c r="H66" s="5">
        <f>ROUND(D66*G66*1.19,0)</f>
        <v/>
      </c>
      <c r="I66" s="5" t="n">
        <v>194875</v>
      </c>
      <c r="J66" s="5" t="n">
        <v>233850</v>
      </c>
      <c r="K66" s="5">
        <f>D66*I66</f>
        <v/>
      </c>
      <c r="L66" s="5">
        <f>D66*J66</f>
        <v/>
      </c>
      <c r="M66" s="5">
        <f>H66+Q66</f>
        <v/>
      </c>
      <c r="N66" s="5">
        <f>K66-M66</f>
        <v/>
      </c>
      <c r="O66" s="5">
        <f>L66-M66</f>
        <v/>
      </c>
      <c r="P66" s="5">
        <f>ROUND((E66-G66)*D66,0)</f>
        <v/>
      </c>
      <c r="Q66" s="5">
        <f>D66*10000</f>
        <v/>
      </c>
      <c r="R66" s="5">
        <f>K66-H66</f>
        <v/>
      </c>
      <c r="S66" s="5">
        <f>L66-H66</f>
        <v/>
      </c>
    </row>
    <row r="67">
      <c r="A67" s="3" t="inlineStr">
        <is>
          <t>KBJ-4085</t>
        </is>
      </c>
      <c r="B67" s="3" t="inlineStr">
        <is>
          <t>Rótula Mazda 2 15-08 Skyactive 19-16 / Ford Fiesta 17-11</t>
        </is>
      </c>
      <c r="C67" s="3" t="inlineStr">
        <is>
          <t>Mazda/Ford</t>
        </is>
      </c>
      <c r="D67" s="4" t="n">
        <v>2</v>
      </c>
      <c r="E67" s="5" t="n">
        <v>24820</v>
      </c>
      <c r="F67" s="5">
        <f>D67*E67</f>
        <v/>
      </c>
      <c r="G67" s="5" t="n">
        <v>18615</v>
      </c>
      <c r="H67" s="5">
        <f>ROUND(D67*G67*1.19,0)</f>
        <v/>
      </c>
      <c r="I67" s="5" t="n">
        <v>50687</v>
      </c>
      <c r="J67" s="5" t="n">
        <v>60824</v>
      </c>
      <c r="K67" s="5">
        <f>D67*I67</f>
        <v/>
      </c>
      <c r="L67" s="5">
        <f>D67*J67</f>
        <v/>
      </c>
      <c r="M67" s="5">
        <f>H67+Q67</f>
        <v/>
      </c>
      <c r="N67" s="5">
        <f>K67-M67</f>
        <v/>
      </c>
      <c r="O67" s="5">
        <f>L67-M67</f>
        <v/>
      </c>
      <c r="P67" s="5">
        <f>ROUND((E67-G67)*D67,0)</f>
        <v/>
      </c>
      <c r="Q67" s="5">
        <f>D67*10000</f>
        <v/>
      </c>
      <c r="R67" s="5">
        <f>K67-H67</f>
        <v/>
      </c>
      <c r="S67" s="5">
        <f>L67-H67</f>
        <v/>
      </c>
    </row>
    <row r="68">
      <c r="A68" s="3" t="inlineStr">
        <is>
          <t>KBJ-4043</t>
        </is>
      </c>
      <c r="B68" s="3" t="inlineStr">
        <is>
          <t>Rótula BT-50 4x4 INF Cono 19.5mm / Ford Ranger 4x4 INF</t>
        </is>
      </c>
      <c r="C68" s="3" t="inlineStr">
        <is>
          <t>Mazda/Ford</t>
        </is>
      </c>
      <c r="D68" s="4" t="n">
        <v>2</v>
      </c>
      <c r="E68" s="5" t="n">
        <v>38590</v>
      </c>
      <c r="F68" s="5">
        <f>D68*E68</f>
        <v/>
      </c>
      <c r="G68" s="5" t="n">
        <v>28943</v>
      </c>
      <c r="H68" s="5">
        <f>ROUND(D68*G68*1.19,0)</f>
        <v/>
      </c>
      <c r="I68" s="5" t="n">
        <v>71695</v>
      </c>
      <c r="J68" s="5" t="n">
        <v>86034</v>
      </c>
      <c r="K68" s="5">
        <f>D68*I68</f>
        <v/>
      </c>
      <c r="L68" s="5">
        <f>D68*J68</f>
        <v/>
      </c>
      <c r="M68" s="5">
        <f>H68+Q68</f>
        <v/>
      </c>
      <c r="N68" s="5">
        <f>K68-M68</f>
        <v/>
      </c>
      <c r="O68" s="5">
        <f>L68-M68</f>
        <v/>
      </c>
      <c r="P68" s="5">
        <f>ROUND((E68-G68)*D68,0)</f>
        <v/>
      </c>
      <c r="Q68" s="5">
        <f>D68*10000</f>
        <v/>
      </c>
      <c r="R68" s="5">
        <f>K68-H68</f>
        <v/>
      </c>
      <c r="S68" s="5">
        <f>L68-H68</f>
        <v/>
      </c>
    </row>
    <row r="69">
      <c r="A69" s="3" t="inlineStr">
        <is>
          <t>KTR-4308</t>
        </is>
      </c>
      <c r="B69" s="3" t="inlineStr">
        <is>
          <t>Terminal Dirección M6 / Ford Edge-Fusion DER</t>
        </is>
      </c>
      <c r="C69" s="3" t="inlineStr">
        <is>
          <t>Mazda/Ford</t>
        </is>
      </c>
      <c r="D69" s="4" t="n">
        <v>2</v>
      </c>
      <c r="E69" s="5" t="n">
        <v>35680</v>
      </c>
      <c r="F69" s="5">
        <f>D69*E69</f>
        <v/>
      </c>
      <c r="G69" s="5" t="n">
        <v>26760</v>
      </c>
      <c r="H69" s="5">
        <f>ROUND(D69*G69*1.19,0)</f>
        <v/>
      </c>
      <c r="I69" s="5" t="n">
        <v>67255</v>
      </c>
      <c r="J69" s="5" t="n">
        <v>80706</v>
      </c>
      <c r="K69" s="5">
        <f>D69*I69</f>
        <v/>
      </c>
      <c r="L69" s="5">
        <f>D69*J69</f>
        <v/>
      </c>
      <c r="M69" s="5">
        <f>H69+Q69</f>
        <v/>
      </c>
      <c r="N69" s="5">
        <f>K69-M69</f>
        <v/>
      </c>
      <c r="O69" s="5">
        <f>L69-M69</f>
        <v/>
      </c>
      <c r="P69" s="5">
        <f>ROUND((E69-G69)*D69,0)</f>
        <v/>
      </c>
      <c r="Q69" s="5">
        <f>D69*10000</f>
        <v/>
      </c>
      <c r="R69" s="5">
        <f>K69-H69</f>
        <v/>
      </c>
      <c r="S69" s="5">
        <f>L69-H69</f>
        <v/>
      </c>
    </row>
    <row r="70">
      <c r="A70" s="3" t="inlineStr">
        <is>
          <t>KTR-4309</t>
        </is>
      </c>
      <c r="B70" s="3" t="inlineStr">
        <is>
          <t>Terminal Dir M6 / Ford Edge-Fusion IZQ</t>
        </is>
      </c>
      <c r="C70" s="3" t="inlineStr">
        <is>
          <t>Mazda/Ford</t>
        </is>
      </c>
      <c r="D70" s="4" t="n">
        <v>2</v>
      </c>
      <c r="E70" s="5" t="n">
        <v>34800</v>
      </c>
      <c r="F70" s="5">
        <f>D70*E70</f>
        <v/>
      </c>
      <c r="G70" s="5" t="n">
        <v>26100</v>
      </c>
      <c r="H70" s="5">
        <f>ROUND(D70*G70*1.19,0)</f>
        <v/>
      </c>
      <c r="I70" s="5" t="n">
        <v>65913</v>
      </c>
      <c r="J70" s="5" t="n">
        <v>79095</v>
      </c>
      <c r="K70" s="5">
        <f>D70*I70</f>
        <v/>
      </c>
      <c r="L70" s="5">
        <f>D70*J70</f>
        <v/>
      </c>
      <c r="M70" s="5">
        <f>H70+Q70</f>
        <v/>
      </c>
      <c r="N70" s="5">
        <f>K70-M70</f>
        <v/>
      </c>
      <c r="O70" s="5">
        <f>L70-M70</f>
        <v/>
      </c>
      <c r="P70" s="5">
        <f>ROUND((E70-G70)*D70,0)</f>
        <v/>
      </c>
      <c r="Q70" s="5">
        <f>D70*10000</f>
        <v/>
      </c>
      <c r="R70" s="5">
        <f>K70-H70</f>
        <v/>
      </c>
      <c r="S70" s="5">
        <f>L70-H70</f>
        <v/>
      </c>
    </row>
    <row r="71">
      <c r="A71" s="3" t="inlineStr">
        <is>
          <t>KSL-2107</t>
        </is>
      </c>
      <c r="B71" s="3" t="inlineStr">
        <is>
          <t>Bieleta Estab. Mazda 2 07-02 / Ford Fiesta-Fusion</t>
        </is>
      </c>
      <c r="C71" s="3" t="inlineStr">
        <is>
          <t>Mazda/Ford</t>
        </is>
      </c>
      <c r="D71" s="4" t="n">
        <v>2</v>
      </c>
      <c r="E71" s="5" t="n">
        <v>20720</v>
      </c>
      <c r="F71" s="5">
        <f>D71*E71</f>
        <v/>
      </c>
      <c r="G71" s="5" t="n">
        <v>15540</v>
      </c>
      <c r="H71" s="5">
        <f>ROUND(D71*G71*1.19,0)</f>
        <v/>
      </c>
      <c r="I71" s="5" t="n">
        <v>44432</v>
      </c>
      <c r="J71" s="5" t="n">
        <v>53318</v>
      </c>
      <c r="K71" s="5">
        <f>D71*I71</f>
        <v/>
      </c>
      <c r="L71" s="5">
        <f>D71*J71</f>
        <v/>
      </c>
      <c r="M71" s="5">
        <f>H71+Q71</f>
        <v/>
      </c>
      <c r="N71" s="5">
        <f>K71-M71</f>
        <v/>
      </c>
      <c r="O71" s="5">
        <f>L71-M71</f>
        <v/>
      </c>
      <c r="P71" s="5">
        <f>ROUND((E71-G71)*D71,0)</f>
        <v/>
      </c>
      <c r="Q71" s="5">
        <f>D71*10000</f>
        <v/>
      </c>
      <c r="R71" s="5">
        <f>K71-H71</f>
        <v/>
      </c>
      <c r="S71" s="5">
        <f>L71-H71</f>
        <v/>
      </c>
    </row>
    <row r="72">
      <c r="A72" s="3" t="inlineStr">
        <is>
          <t>KRE-3210</t>
        </is>
      </c>
      <c r="B72" s="3" t="inlineStr">
        <is>
          <t>Terminal Axial Mazda 2 15-07 / Kia Picanto ION Dir Mecánica M14x1.5</t>
        </is>
      </c>
      <c r="C72" s="3" t="inlineStr">
        <is>
          <t>Mazda/Kia</t>
        </is>
      </c>
      <c r="D72" s="4" t="n">
        <v>2</v>
      </c>
      <c r="E72" s="5" t="n">
        <v>27020</v>
      </c>
      <c r="F72" s="5">
        <f>D72*E72</f>
        <v/>
      </c>
      <c r="G72" s="5" t="n">
        <v>20265</v>
      </c>
      <c r="H72" s="5">
        <f>ROUND(D72*G72*1.19,0)</f>
        <v/>
      </c>
      <c r="I72" s="5" t="n">
        <v>54043</v>
      </c>
      <c r="J72" s="5" t="n">
        <v>64852</v>
      </c>
      <c r="K72" s="5">
        <f>D72*I72</f>
        <v/>
      </c>
      <c r="L72" s="5">
        <f>D72*J72</f>
        <v/>
      </c>
      <c r="M72" s="5">
        <f>H72+Q72</f>
        <v/>
      </c>
      <c r="N72" s="5">
        <f>K72-M72</f>
        <v/>
      </c>
      <c r="O72" s="5">
        <f>L72-M72</f>
        <v/>
      </c>
      <c r="P72" s="5">
        <f>ROUND((E72-G72)*D72,0)</f>
        <v/>
      </c>
      <c r="Q72" s="5">
        <f>D72*10000</f>
        <v/>
      </c>
      <c r="R72" s="5">
        <f>K72-H72</f>
        <v/>
      </c>
      <c r="S72" s="5">
        <f>L72-H72</f>
        <v/>
      </c>
    </row>
    <row r="73">
      <c r="A73" s="3" t="inlineStr">
        <is>
          <t>KBJ-4053</t>
        </is>
      </c>
      <c r="B73" s="3" t="inlineStr">
        <is>
          <t>Rótula D22 4x2-4x4 Frontier 4x4 SUP</t>
        </is>
      </c>
      <c r="C73" s="3" t="inlineStr">
        <is>
          <t>Nissan</t>
        </is>
      </c>
      <c r="D73" s="4" t="n">
        <v>2</v>
      </c>
      <c r="E73" s="5" t="n">
        <v>26220</v>
      </c>
      <c r="F73" s="5">
        <f>D73*E73</f>
        <v/>
      </c>
      <c r="G73" s="5" t="n">
        <v>19665</v>
      </c>
      <c r="H73" s="5">
        <f>ROUND(D73*G73*1.19,0)</f>
        <v/>
      </c>
      <c r="I73" s="5" t="n">
        <v>52823</v>
      </c>
      <c r="J73" s="5" t="n">
        <v>63387</v>
      </c>
      <c r="K73" s="5">
        <f>D73*I73</f>
        <v/>
      </c>
      <c r="L73" s="5">
        <f>D73*J73</f>
        <v/>
      </c>
      <c r="M73" s="5">
        <f>H73+Q73</f>
        <v/>
      </c>
      <c r="N73" s="5">
        <f>K73-M73</f>
        <v/>
      </c>
      <c r="O73" s="5">
        <f>L73-M73</f>
        <v/>
      </c>
      <c r="P73" s="5">
        <f>ROUND((E73-G73)*D73,0)</f>
        <v/>
      </c>
      <c r="Q73" s="5">
        <f>D73*10000</f>
        <v/>
      </c>
      <c r="R73" s="5">
        <f>K73-H73</f>
        <v/>
      </c>
      <c r="S73" s="5">
        <f>L73-H73</f>
        <v/>
      </c>
    </row>
    <row r="74">
      <c r="A74" s="3" t="inlineStr">
        <is>
          <t>KBJ-4051</t>
        </is>
      </c>
      <c r="B74" s="3" t="inlineStr">
        <is>
          <t>Rótula D21 Frontier NP300 4x2 Gasol INF Urban INF</t>
        </is>
      </c>
      <c r="C74" s="3" t="inlineStr">
        <is>
          <t>Nissan</t>
        </is>
      </c>
      <c r="D74" s="4" t="n">
        <v>2</v>
      </c>
      <c r="E74" s="5" t="n">
        <v>38630</v>
      </c>
      <c r="F74" s="5">
        <f>D74*E74</f>
        <v/>
      </c>
      <c r="G74" s="5" t="n">
        <v>28973</v>
      </c>
      <c r="H74" s="5">
        <f>ROUND(D74*G74*1.19,0)</f>
        <v/>
      </c>
      <c r="I74" s="5" t="n">
        <v>71756</v>
      </c>
      <c r="J74" s="5" t="n">
        <v>86107</v>
      </c>
      <c r="K74" s="5">
        <f>D74*I74</f>
        <v/>
      </c>
      <c r="L74" s="5">
        <f>D74*J74</f>
        <v/>
      </c>
      <c r="M74" s="5">
        <f>H74+Q74</f>
        <v/>
      </c>
      <c r="N74" s="5">
        <f>K74-M74</f>
        <v/>
      </c>
      <c r="O74" s="5">
        <f>L74-M74</f>
        <v/>
      </c>
      <c r="P74" s="5">
        <f>ROUND((E74-G74)*D74,0)</f>
        <v/>
      </c>
      <c r="Q74" s="5">
        <f>D74*10000</f>
        <v/>
      </c>
      <c r="R74" s="5">
        <f>K74-H74</f>
        <v/>
      </c>
      <c r="S74" s="5">
        <f>L74-H74</f>
        <v/>
      </c>
    </row>
    <row r="75">
      <c r="A75" s="3" t="inlineStr">
        <is>
          <t>KTR-5129</t>
        </is>
      </c>
      <c r="B75" s="3" t="inlineStr">
        <is>
          <t>Terminal Dirección March IZQ</t>
        </is>
      </c>
      <c r="C75" s="3" t="inlineStr">
        <is>
          <t>Nissan</t>
        </is>
      </c>
      <c r="D75" s="4" t="n">
        <v>2</v>
      </c>
      <c r="E75" s="5" t="n">
        <v>28950</v>
      </c>
      <c r="F75" s="5">
        <f>D75*E75</f>
        <v/>
      </c>
      <c r="G75" s="5" t="n">
        <v>21713</v>
      </c>
      <c r="H75" s="5">
        <f>ROUND(D75*G75*1.19,0)</f>
        <v/>
      </c>
      <c r="I75" s="5" t="n">
        <v>56988</v>
      </c>
      <c r="J75" s="5" t="n">
        <v>68385</v>
      </c>
      <c r="K75" s="5">
        <f>D75*I75</f>
        <v/>
      </c>
      <c r="L75" s="5">
        <f>D75*J75</f>
        <v/>
      </c>
      <c r="M75" s="5">
        <f>H75+Q75</f>
        <v/>
      </c>
      <c r="N75" s="5">
        <f>K75-M75</f>
        <v/>
      </c>
      <c r="O75" s="5">
        <f>L75-M75</f>
        <v/>
      </c>
      <c r="P75" s="5">
        <f>ROUND((E75-G75)*D75,0)</f>
        <v/>
      </c>
      <c r="Q75" s="5">
        <f>D75*10000</f>
        <v/>
      </c>
      <c r="R75" s="5">
        <f>K75-H75</f>
        <v/>
      </c>
      <c r="S75" s="5">
        <f>L75-H75</f>
        <v/>
      </c>
    </row>
    <row r="76">
      <c r="A76" s="3" t="inlineStr">
        <is>
          <t>KTR-5130</t>
        </is>
      </c>
      <c r="B76" s="3" t="inlineStr">
        <is>
          <t>Terminal Dirección March K11 Note DER</t>
        </is>
      </c>
      <c r="C76" s="3" t="inlineStr">
        <is>
          <t>Nissan</t>
        </is>
      </c>
      <c r="D76" s="4" t="n">
        <v>2</v>
      </c>
      <c r="E76" s="5" t="n">
        <v>28950</v>
      </c>
      <c r="F76" s="5">
        <f>D76*E76</f>
        <v/>
      </c>
      <c r="G76" s="5" t="n">
        <v>21713</v>
      </c>
      <c r="H76" s="5">
        <f>ROUND(D76*G76*1.19,0)</f>
        <v/>
      </c>
      <c r="I76" s="5" t="n">
        <v>56988</v>
      </c>
      <c r="J76" s="5" t="n">
        <v>68385</v>
      </c>
      <c r="K76" s="5">
        <f>D76*I76</f>
        <v/>
      </c>
      <c r="L76" s="5">
        <f>D76*J76</f>
        <v/>
      </c>
      <c r="M76" s="5">
        <f>H76+Q76</f>
        <v/>
      </c>
      <c r="N76" s="5">
        <f>K76-M76</f>
        <v/>
      </c>
      <c r="O76" s="5">
        <f>L76-M76</f>
        <v/>
      </c>
      <c r="P76" s="5">
        <f>ROUND((E76-G76)*D76,0)</f>
        <v/>
      </c>
      <c r="Q76" s="5">
        <f>D76*10000</f>
        <v/>
      </c>
      <c r="R76" s="5">
        <f>K76-H76</f>
        <v/>
      </c>
      <c r="S76" s="5">
        <f>L76-H76</f>
        <v/>
      </c>
    </row>
    <row r="77">
      <c r="A77" s="3" t="inlineStr">
        <is>
          <t>KSA-RE047</t>
        </is>
      </c>
      <c r="B77" s="3" t="inlineStr">
        <is>
          <t>AMORTIGUADOR RENAULT CLIO CAMPUS DEL Esp Largo - Plato Bajo peq</t>
        </is>
      </c>
      <c r="C77" s="3" t="inlineStr">
        <is>
          <t>Renault</t>
        </is>
      </c>
      <c r="D77" s="4" t="n">
        <v>2</v>
      </c>
      <c r="E77" s="5" t="n">
        <v>129320</v>
      </c>
      <c r="F77" s="5">
        <f>D77*E77</f>
        <v/>
      </c>
      <c r="G77" s="5" t="n">
        <v>96990</v>
      </c>
      <c r="H77" s="5">
        <f>ROUND(D77*G77*1.19,0)</f>
        <v/>
      </c>
      <c r="I77" s="5" t="n">
        <v>210116</v>
      </c>
      <c r="J77" s="5" t="n">
        <v>252140</v>
      </c>
      <c r="K77" s="5">
        <f>D77*I77</f>
        <v/>
      </c>
      <c r="L77" s="5">
        <f>D77*J77</f>
        <v/>
      </c>
      <c r="M77" s="5">
        <f>H77+Q77</f>
        <v/>
      </c>
      <c r="N77" s="5">
        <f>K77-M77</f>
        <v/>
      </c>
      <c r="O77" s="5">
        <f>L77-M77</f>
        <v/>
      </c>
      <c r="P77" s="5">
        <f>ROUND((E77-G77)*D77,0)</f>
        <v/>
      </c>
      <c r="Q77" s="5">
        <f>D77*10000</f>
        <v/>
      </c>
      <c r="R77" s="5">
        <f>K77-H77</f>
        <v/>
      </c>
      <c r="S77" s="5">
        <f>L77-H77</f>
        <v/>
      </c>
    </row>
    <row r="78">
      <c r="A78" s="3" t="inlineStr">
        <is>
          <t>KBJ-4068</t>
        </is>
      </c>
      <c r="B78" s="3" t="inlineStr">
        <is>
          <t>Rótula Logan 15-06 Sandero 15-06 MG2 SC2</t>
        </is>
      </c>
      <c r="C78" s="3" t="inlineStr">
        <is>
          <t>Renault</t>
        </is>
      </c>
      <c r="D78" s="4" t="n">
        <v>2</v>
      </c>
      <c r="E78" s="5" t="n">
        <v>18570</v>
      </c>
      <c r="F78" s="5">
        <f>D78*E78</f>
        <v/>
      </c>
      <c r="G78" s="5" t="n">
        <v>13928</v>
      </c>
      <c r="H78" s="5">
        <f>ROUND(D78*G78*1.19,0)</f>
        <v/>
      </c>
      <c r="I78" s="5" t="n">
        <v>41152</v>
      </c>
      <c r="J78" s="5" t="n">
        <v>49382</v>
      </c>
      <c r="K78" s="5">
        <f>D78*I78</f>
        <v/>
      </c>
      <c r="L78" s="5">
        <f>D78*J78</f>
        <v/>
      </c>
      <c r="M78" s="5">
        <f>H78+Q78</f>
        <v/>
      </c>
      <c r="N78" s="5">
        <f>K78-M78</f>
        <v/>
      </c>
      <c r="O78" s="5">
        <f>L78-M78</f>
        <v/>
      </c>
      <c r="P78" s="5">
        <f>ROUND((E78-G78)*D78,0)</f>
        <v/>
      </c>
      <c r="Q78" s="5">
        <f>D78*10000</f>
        <v/>
      </c>
      <c r="R78" s="5">
        <f>K78-H78</f>
        <v/>
      </c>
      <c r="S78" s="5">
        <f>L78-H78</f>
        <v/>
      </c>
    </row>
    <row r="79">
      <c r="A79" s="3" t="inlineStr">
        <is>
          <t>KBJ-4064</t>
        </is>
      </c>
      <c r="B79" s="3" t="inlineStr">
        <is>
          <t>Rótula R9-19-21RC-CL-TW</t>
        </is>
      </c>
      <c r="C79" s="3" t="inlineStr">
        <is>
          <t>Renault</t>
        </is>
      </c>
      <c r="D79" s="4" t="n">
        <v>2</v>
      </c>
      <c r="E79" s="5" t="n">
        <v>23010</v>
      </c>
      <c r="F79" s="5">
        <f>D79*E79</f>
        <v/>
      </c>
      <c r="G79" s="5" t="n">
        <v>17258</v>
      </c>
      <c r="H79" s="5">
        <f>ROUND(D79*G79*1.19,0)</f>
        <v/>
      </c>
      <c r="I79" s="5" t="n">
        <v>47926</v>
      </c>
      <c r="J79" s="5" t="n">
        <v>57511</v>
      </c>
      <c r="K79" s="5">
        <f>D79*I79</f>
        <v/>
      </c>
      <c r="L79" s="5">
        <f>D79*J79</f>
        <v/>
      </c>
      <c r="M79" s="5">
        <f>H79+Q79</f>
        <v/>
      </c>
      <c r="N79" s="5">
        <f>K79-M79</f>
        <v/>
      </c>
      <c r="O79" s="5">
        <f>L79-M79</f>
        <v/>
      </c>
      <c r="P79" s="5">
        <f>ROUND((E79-G79)*D79,0)</f>
        <v/>
      </c>
      <c r="Q79" s="5">
        <f>D79*10000</f>
        <v/>
      </c>
      <c r="R79" s="5">
        <f>K79-H79</f>
        <v/>
      </c>
      <c r="S79" s="5">
        <f>L79-H79</f>
        <v/>
      </c>
    </row>
    <row r="80">
      <c r="A80" s="3" t="inlineStr">
        <is>
          <t>KBJ-4065</t>
        </is>
      </c>
      <c r="B80" s="3" t="inlineStr">
        <is>
          <t>Rótula Clio 2</t>
        </is>
      </c>
      <c r="C80" s="3" t="inlineStr">
        <is>
          <t>Renault</t>
        </is>
      </c>
      <c r="D80" s="4" t="n">
        <v>2</v>
      </c>
      <c r="E80" s="5" t="n">
        <v>27630</v>
      </c>
      <c r="F80" s="5">
        <f>D80*E80</f>
        <v/>
      </c>
      <c r="G80" s="5" t="n">
        <v>20723</v>
      </c>
      <c r="H80" s="5">
        <f>ROUND(D80*G80*1.19,0)</f>
        <v/>
      </c>
      <c r="I80" s="5" t="n">
        <v>54974</v>
      </c>
      <c r="J80" s="5" t="n">
        <v>65969</v>
      </c>
      <c r="K80" s="5">
        <f>D80*I80</f>
        <v/>
      </c>
      <c r="L80" s="5">
        <f>D80*J80</f>
        <v/>
      </c>
      <c r="M80" s="5">
        <f>H80+Q80</f>
        <v/>
      </c>
      <c r="N80" s="5">
        <f>K80-M80</f>
        <v/>
      </c>
      <c r="O80" s="5">
        <f>L80-M80</f>
        <v/>
      </c>
      <c r="P80" s="5">
        <f>ROUND((E80-G80)*D80,0)</f>
        <v/>
      </c>
      <c r="Q80" s="5">
        <f>D80*10000</f>
        <v/>
      </c>
      <c r="R80" s="5">
        <f>K80-H80</f>
        <v/>
      </c>
      <c r="S80" s="5">
        <f>L80-H80</f>
        <v/>
      </c>
    </row>
    <row r="81">
      <c r="A81" s="3" t="inlineStr">
        <is>
          <t>KBJ-4108</t>
        </is>
      </c>
      <c r="B81" s="3" t="inlineStr">
        <is>
          <t>Rótula Logan 23-16 Sandero 23-16 STW 23-16</t>
        </is>
      </c>
      <c r="C81" s="3" t="inlineStr">
        <is>
          <t>Renault</t>
        </is>
      </c>
      <c r="D81" s="4" t="n">
        <v>2</v>
      </c>
      <c r="E81" s="5" t="n">
        <v>21870</v>
      </c>
      <c r="F81" s="5">
        <f>D81*E81</f>
        <v/>
      </c>
      <c r="G81" s="5" t="n">
        <v>16403</v>
      </c>
      <c r="H81" s="5">
        <f>ROUND(D81*G81*1.19,0)</f>
        <v/>
      </c>
      <c r="I81" s="5" t="n">
        <v>46186</v>
      </c>
      <c r="J81" s="5" t="n">
        <v>55424</v>
      </c>
      <c r="K81" s="5">
        <f>D81*I81</f>
        <v/>
      </c>
      <c r="L81" s="5">
        <f>D81*J81</f>
        <v/>
      </c>
      <c r="M81" s="5">
        <f>H81+Q81</f>
        <v/>
      </c>
      <c r="N81" s="5">
        <f>K81-M81</f>
        <v/>
      </c>
      <c r="O81" s="5">
        <f>L81-M81</f>
        <v/>
      </c>
      <c r="P81" s="5">
        <f>ROUND((E81-G81)*D81,0)</f>
        <v/>
      </c>
      <c r="Q81" s="5">
        <f>D81*10000</f>
        <v/>
      </c>
      <c r="R81" s="5">
        <f>K81-H81</f>
        <v/>
      </c>
      <c r="S81" s="5">
        <f>L81-H81</f>
        <v/>
      </c>
    </row>
    <row r="82">
      <c r="A82" s="3" t="inlineStr">
        <is>
          <t>KTR-6013</t>
        </is>
      </c>
      <c r="B82" s="3" t="inlineStr">
        <is>
          <t>Terminal Dirección Megane 2 IZQ</t>
        </is>
      </c>
      <c r="C82" s="3" t="inlineStr">
        <is>
          <t>Renault</t>
        </is>
      </c>
      <c r="D82" s="4" t="n">
        <v>2</v>
      </c>
      <c r="E82" s="5" t="n">
        <v>36040</v>
      </c>
      <c r="F82" s="5">
        <f>D82*E82</f>
        <v/>
      </c>
      <c r="G82" s="5" t="n">
        <v>27030</v>
      </c>
      <c r="H82" s="5">
        <f>ROUND(D82*G82*1.19,0)</f>
        <v/>
      </c>
      <c r="I82" s="5" t="n">
        <v>67805</v>
      </c>
      <c r="J82" s="5" t="n">
        <v>81366</v>
      </c>
      <c r="K82" s="5">
        <f>D82*I82</f>
        <v/>
      </c>
      <c r="L82" s="5">
        <f>D82*J82</f>
        <v/>
      </c>
      <c r="M82" s="5">
        <f>H82+Q82</f>
        <v/>
      </c>
      <c r="N82" s="5">
        <f>K82-M82</f>
        <v/>
      </c>
      <c r="O82" s="5">
        <f>L82-M82</f>
        <v/>
      </c>
      <c r="P82" s="5">
        <f>ROUND((E82-G82)*D82,0)</f>
        <v/>
      </c>
      <c r="Q82" s="5">
        <f>D82*10000</f>
        <v/>
      </c>
      <c r="R82" s="5">
        <f>K82-H82</f>
        <v/>
      </c>
      <c r="S82" s="5">
        <f>L82-H82</f>
        <v/>
      </c>
    </row>
    <row r="83">
      <c r="A83" s="3" t="inlineStr">
        <is>
          <t>KTR-6014</t>
        </is>
      </c>
      <c r="B83" s="3" t="inlineStr">
        <is>
          <t>Terminal Dirección Megane 2 DER</t>
        </is>
      </c>
      <c r="C83" s="3" t="inlineStr">
        <is>
          <t>Renault</t>
        </is>
      </c>
      <c r="D83" s="4" t="n">
        <v>2</v>
      </c>
      <c r="E83" s="5" t="n">
        <v>36040</v>
      </c>
      <c r="F83" s="5">
        <f>D83*E83</f>
        <v/>
      </c>
      <c r="G83" s="5" t="n">
        <v>27030</v>
      </c>
      <c r="H83" s="5">
        <f>ROUND(D83*G83*1.19,0)</f>
        <v/>
      </c>
      <c r="I83" s="5" t="n">
        <v>67805</v>
      </c>
      <c r="J83" s="5" t="n">
        <v>81366</v>
      </c>
      <c r="K83" s="5">
        <f>D83*I83</f>
        <v/>
      </c>
      <c r="L83" s="5">
        <f>D83*J83</f>
        <v/>
      </c>
      <c r="M83" s="5">
        <f>H83+Q83</f>
        <v/>
      </c>
      <c r="N83" s="5">
        <f>K83-M83</f>
        <v/>
      </c>
      <c r="O83" s="5">
        <f>L83-M83</f>
        <v/>
      </c>
      <c r="P83" s="5">
        <f>ROUND((E83-G83)*D83,0)</f>
        <v/>
      </c>
      <c r="Q83" s="5">
        <f>D83*10000</f>
        <v/>
      </c>
      <c r="R83" s="5">
        <f>K83-H83</f>
        <v/>
      </c>
      <c r="S83" s="5">
        <f>L83-H83</f>
        <v/>
      </c>
    </row>
    <row r="84">
      <c r="A84" s="3" t="inlineStr">
        <is>
          <t>KBJ-4066</t>
        </is>
      </c>
      <c r="B84" s="3" t="inlineStr">
        <is>
          <t>Rótula Duster</t>
        </is>
      </c>
      <c r="C84" s="3" t="inlineStr">
        <is>
          <t>Renault</t>
        </is>
      </c>
      <c r="D84" s="4" t="n">
        <v>2</v>
      </c>
      <c r="E84" s="5" t="n">
        <v>34630</v>
      </c>
      <c r="F84" s="5">
        <f>D84*E84</f>
        <v/>
      </c>
      <c r="G84" s="5" t="n">
        <v>25973</v>
      </c>
      <c r="H84" s="5">
        <f>ROUND(D84*G84*1.19,0)</f>
        <v/>
      </c>
      <c r="I84" s="5" t="n">
        <v>65653</v>
      </c>
      <c r="J84" s="5" t="n">
        <v>78784</v>
      </c>
      <c r="K84" s="5">
        <f>D84*I84</f>
        <v/>
      </c>
      <c r="L84" s="5">
        <f>D84*J84</f>
        <v/>
      </c>
      <c r="M84" s="5">
        <f>H84+Q84</f>
        <v/>
      </c>
      <c r="N84" s="5">
        <f>K84-M84</f>
        <v/>
      </c>
      <c r="O84" s="5">
        <f>L84-M84</f>
        <v/>
      </c>
      <c r="P84" s="5">
        <f>ROUND((E84-G84)*D84,0)</f>
        <v/>
      </c>
      <c r="Q84" s="5">
        <f>D84*10000</f>
        <v/>
      </c>
      <c r="R84" s="5">
        <f>K84-H84</f>
        <v/>
      </c>
      <c r="S84" s="5">
        <f>L84-H84</f>
        <v/>
      </c>
    </row>
    <row r="85">
      <c r="A85" s="3" t="inlineStr">
        <is>
          <t>KTR-6007</t>
        </is>
      </c>
      <c r="B85" s="3" t="inlineStr">
        <is>
          <t>Terminal Dir Logan I IZQ</t>
        </is>
      </c>
      <c r="C85" s="3" t="inlineStr">
        <is>
          <t>Renault</t>
        </is>
      </c>
      <c r="D85" s="4" t="n">
        <v>2</v>
      </c>
      <c r="E85" s="5" t="n">
        <v>27100</v>
      </c>
      <c r="F85" s="5">
        <f>D85*E85</f>
        <v/>
      </c>
      <c r="G85" s="5" t="n">
        <v>20325</v>
      </c>
      <c r="H85" s="5">
        <f>ROUND(D85*G85*1.19,0)</f>
        <v/>
      </c>
      <c r="I85" s="5" t="n">
        <v>54165</v>
      </c>
      <c r="J85" s="5" t="n">
        <v>64998</v>
      </c>
      <c r="K85" s="5">
        <f>D85*I85</f>
        <v/>
      </c>
      <c r="L85" s="5">
        <f>D85*J85</f>
        <v/>
      </c>
      <c r="M85" s="5">
        <f>H85+Q85</f>
        <v/>
      </c>
      <c r="N85" s="5">
        <f>K85-M85</f>
        <v/>
      </c>
      <c r="O85" s="5">
        <f>L85-M85</f>
        <v/>
      </c>
      <c r="P85" s="5">
        <f>ROUND((E85-G85)*D85,0)</f>
        <v/>
      </c>
      <c r="Q85" s="5">
        <f>D85*10000</f>
        <v/>
      </c>
      <c r="R85" s="5">
        <f>K85-H85</f>
        <v/>
      </c>
      <c r="S85" s="5">
        <f>L85-H85</f>
        <v/>
      </c>
    </row>
    <row r="86">
      <c r="A86" s="3" t="inlineStr">
        <is>
          <t>KTR-6005</t>
        </is>
      </c>
      <c r="B86" s="3" t="inlineStr">
        <is>
          <t>Terminal Dir Duster 4x4 IZQ</t>
        </is>
      </c>
      <c r="C86" s="3" t="inlineStr">
        <is>
          <t>Renault</t>
        </is>
      </c>
      <c r="D86" s="4" t="n">
        <v>2</v>
      </c>
      <c r="E86" s="5" t="n">
        <v>37360</v>
      </c>
      <c r="F86" s="5">
        <f>D86*E86</f>
        <v/>
      </c>
      <c r="G86" s="5" t="n">
        <v>28020</v>
      </c>
      <c r="H86" s="5">
        <f>ROUND(D86*G86*1.19,0)</f>
        <v/>
      </c>
      <c r="I86" s="5" t="n">
        <v>69818</v>
      </c>
      <c r="J86" s="5" t="n">
        <v>83782</v>
      </c>
      <c r="K86" s="5">
        <f>D86*I86</f>
        <v/>
      </c>
      <c r="L86" s="5">
        <f>D86*J86</f>
        <v/>
      </c>
      <c r="M86" s="5">
        <f>H86+Q86</f>
        <v/>
      </c>
      <c r="N86" s="5">
        <f>K86-M86</f>
        <v/>
      </c>
      <c r="O86" s="5">
        <f>L86-M86</f>
        <v/>
      </c>
      <c r="P86" s="5">
        <f>ROUND((E86-G86)*D86,0)</f>
        <v/>
      </c>
      <c r="Q86" s="5">
        <f>D86*10000</f>
        <v/>
      </c>
      <c r="R86" s="5">
        <f>K86-H86</f>
        <v/>
      </c>
      <c r="S86" s="5">
        <f>L86-H86</f>
        <v/>
      </c>
    </row>
    <row r="87">
      <c r="A87" s="3" t="inlineStr">
        <is>
          <t>KRE-6215</t>
        </is>
      </c>
      <c r="B87" s="3" t="inlineStr">
        <is>
          <t>Terminal Axial Megane II - Scenic II</t>
        </is>
      </c>
      <c r="C87" s="3" t="inlineStr">
        <is>
          <t>Renault</t>
        </is>
      </c>
      <c r="D87" s="4" t="n">
        <v>2</v>
      </c>
      <c r="E87" s="5" t="n">
        <v>26270</v>
      </c>
      <c r="F87" s="5">
        <f>D87*E87</f>
        <v/>
      </c>
      <c r="G87" s="5" t="n">
        <v>19703</v>
      </c>
      <c r="H87" s="5">
        <f>ROUND(D87*G87*1.19,0)</f>
        <v/>
      </c>
      <c r="I87" s="5" t="n">
        <v>52899</v>
      </c>
      <c r="J87" s="5" t="n">
        <v>63479</v>
      </c>
      <c r="K87" s="5">
        <f>D87*I87</f>
        <v/>
      </c>
      <c r="L87" s="5">
        <f>D87*J87</f>
        <v/>
      </c>
      <c r="M87" s="5">
        <f>H87+Q87</f>
        <v/>
      </c>
      <c r="N87" s="5">
        <f>K87-M87</f>
        <v/>
      </c>
      <c r="O87" s="5">
        <f>L87-M87</f>
        <v/>
      </c>
      <c r="P87" s="5">
        <f>ROUND((E87-G87)*D87,0)</f>
        <v/>
      </c>
      <c r="Q87" s="5">
        <f>D87*10000</f>
        <v/>
      </c>
      <c r="R87" s="5">
        <f>K87-H87</f>
        <v/>
      </c>
      <c r="S87" s="5">
        <f>L87-H87</f>
        <v/>
      </c>
    </row>
    <row r="88">
      <c r="A88" s="3" t="inlineStr">
        <is>
          <t>KTR-6006</t>
        </is>
      </c>
      <c r="B88" s="3" t="inlineStr">
        <is>
          <t>Terminal Dir Duster 4x4 DER</t>
        </is>
      </c>
      <c r="C88" s="3" t="inlineStr">
        <is>
          <t>Renault</t>
        </is>
      </c>
      <c r="D88" s="4" t="n">
        <v>2</v>
      </c>
      <c r="E88" s="5" t="n">
        <v>37360</v>
      </c>
      <c r="F88" s="5">
        <f>D88*E88</f>
        <v/>
      </c>
      <c r="G88" s="5" t="n">
        <v>28020</v>
      </c>
      <c r="H88" s="5">
        <f>ROUND(D88*G88*1.19,0)</f>
        <v/>
      </c>
      <c r="I88" s="5" t="n">
        <v>69818</v>
      </c>
      <c r="J88" s="5" t="n">
        <v>83782</v>
      </c>
      <c r="K88" s="5">
        <f>D88*I88</f>
        <v/>
      </c>
      <c r="L88" s="5">
        <f>D88*J88</f>
        <v/>
      </c>
      <c r="M88" s="5">
        <f>H88+Q88</f>
        <v/>
      </c>
      <c r="N88" s="5">
        <f>K88-M88</f>
        <v/>
      </c>
      <c r="O88" s="5">
        <f>L88-M88</f>
        <v/>
      </c>
      <c r="P88" s="5">
        <f>ROUND((E88-G88)*D88,0)</f>
        <v/>
      </c>
      <c r="Q88" s="5">
        <f>D88*10000</f>
        <v/>
      </c>
      <c r="R88" s="5">
        <f>K88-H88</f>
        <v/>
      </c>
      <c r="S88" s="5">
        <f>L88-H88</f>
        <v/>
      </c>
    </row>
    <row r="89">
      <c r="A89" s="3" t="inlineStr">
        <is>
          <t>KSL-3008</t>
        </is>
      </c>
      <c r="B89" s="3" t="inlineStr">
        <is>
          <t>Bieleta Estab. Twingo 16V DER</t>
        </is>
      </c>
      <c r="C89" s="3" t="inlineStr">
        <is>
          <t>Renault</t>
        </is>
      </c>
      <c r="D89" s="4" t="n">
        <v>2</v>
      </c>
      <c r="E89" s="5" t="n">
        <v>22220</v>
      </c>
      <c r="F89" s="5">
        <f>D89*E89</f>
        <v/>
      </c>
      <c r="G89" s="5" t="n">
        <v>16665</v>
      </c>
      <c r="H89" s="5">
        <f>ROUND(D89*G89*1.19,0)</f>
        <v/>
      </c>
      <c r="I89" s="5" t="n">
        <v>46720</v>
      </c>
      <c r="J89" s="5" t="n">
        <v>56064</v>
      </c>
      <c r="K89" s="5">
        <f>D89*I89</f>
        <v/>
      </c>
      <c r="L89" s="5">
        <f>D89*J89</f>
        <v/>
      </c>
      <c r="M89" s="5">
        <f>H89+Q89</f>
        <v/>
      </c>
      <c r="N89" s="5">
        <f>K89-M89</f>
        <v/>
      </c>
      <c r="O89" s="5">
        <f>L89-M89</f>
        <v/>
      </c>
      <c r="P89" s="5">
        <f>ROUND((E89-G89)*D89,0)</f>
        <v/>
      </c>
      <c r="Q89" s="5">
        <f>D89*10000</f>
        <v/>
      </c>
      <c r="R89" s="5">
        <f>K89-H89</f>
        <v/>
      </c>
      <c r="S89" s="5">
        <f>L89-H89</f>
        <v/>
      </c>
    </row>
    <row r="90">
      <c r="A90" s="3" t="inlineStr">
        <is>
          <t>KRE-6217</t>
        </is>
      </c>
      <c r="B90" s="3" t="inlineStr">
        <is>
          <t>Terminal Axial Logan II 20-11 Sandero II-Stepway II</t>
        </is>
      </c>
      <c r="C90" s="3" t="inlineStr">
        <is>
          <t>Renault</t>
        </is>
      </c>
      <c r="D90" s="4" t="n">
        <v>2</v>
      </c>
      <c r="E90" s="5" t="n">
        <v>26270</v>
      </c>
      <c r="F90" s="5">
        <f>D90*E90</f>
        <v/>
      </c>
      <c r="G90" s="5" t="n">
        <v>19703</v>
      </c>
      <c r="H90" s="5">
        <f>ROUND(D90*G90*1.19,0)</f>
        <v/>
      </c>
      <c r="I90" s="5" t="n">
        <v>52899</v>
      </c>
      <c r="J90" s="5" t="n">
        <v>63479</v>
      </c>
      <c r="K90" s="5">
        <f>D90*I90</f>
        <v/>
      </c>
      <c r="L90" s="5">
        <f>D90*J90</f>
        <v/>
      </c>
      <c r="M90" s="5">
        <f>H90+Q90</f>
        <v/>
      </c>
      <c r="N90" s="5">
        <f>K90-M90</f>
        <v/>
      </c>
      <c r="O90" s="5">
        <f>L90-M90</f>
        <v/>
      </c>
      <c r="P90" s="5">
        <f>ROUND((E90-G90)*D90,0)</f>
        <v/>
      </c>
      <c r="Q90" s="5">
        <f>D90*10000</f>
        <v/>
      </c>
      <c r="R90" s="5">
        <f>K90-H90</f>
        <v/>
      </c>
      <c r="S90" s="5">
        <f>L90-H90</f>
        <v/>
      </c>
    </row>
    <row r="91">
      <c r="A91" s="3" t="inlineStr">
        <is>
          <t>KSL-3007</t>
        </is>
      </c>
      <c r="B91" s="3" t="inlineStr">
        <is>
          <t>Bieleta Estab. Twingo 16V IZQ</t>
        </is>
      </c>
      <c r="C91" s="3" t="inlineStr">
        <is>
          <t>Renault</t>
        </is>
      </c>
      <c r="D91" s="4" t="n">
        <v>2</v>
      </c>
      <c r="E91" s="5" t="n">
        <v>22220</v>
      </c>
      <c r="F91" s="5">
        <f>D91*E91</f>
        <v/>
      </c>
      <c r="G91" s="5" t="n">
        <v>16665</v>
      </c>
      <c r="H91" s="5">
        <f>ROUND(D91*G91*1.19,0)</f>
        <v/>
      </c>
      <c r="I91" s="5" t="n">
        <v>46720</v>
      </c>
      <c r="J91" s="5" t="n">
        <v>56064</v>
      </c>
      <c r="K91" s="5">
        <f>D91*I91</f>
        <v/>
      </c>
      <c r="L91" s="5">
        <f>D91*J91</f>
        <v/>
      </c>
      <c r="M91" s="5">
        <f>H91+Q91</f>
        <v/>
      </c>
      <c r="N91" s="5">
        <f>K91-M91</f>
        <v/>
      </c>
      <c r="O91" s="5">
        <f>L91-M91</f>
        <v/>
      </c>
      <c r="P91" s="5">
        <f>ROUND((E91-G91)*D91,0)</f>
        <v/>
      </c>
      <c r="Q91" s="5">
        <f>D91*10000</f>
        <v/>
      </c>
      <c r="R91" s="5">
        <f>K91-H91</f>
        <v/>
      </c>
      <c r="S91" s="5">
        <f>L91-H91</f>
        <v/>
      </c>
    </row>
    <row r="92">
      <c r="A92" s="3" t="inlineStr">
        <is>
          <t>KRE-6211</t>
        </is>
      </c>
      <c r="B92" s="3" t="inlineStr">
        <is>
          <t>Terminal Axial Logan I 10-06 Sandero I rosca delgada</t>
        </is>
      </c>
      <c r="C92" s="3" t="inlineStr">
        <is>
          <t>Renault</t>
        </is>
      </c>
      <c r="D92" s="4" t="n">
        <v>2</v>
      </c>
      <c r="E92" s="5" t="n">
        <v>23540</v>
      </c>
      <c r="F92" s="5">
        <f>D92*E92</f>
        <v/>
      </c>
      <c r="G92" s="5" t="n">
        <v>17655</v>
      </c>
      <c r="H92" s="5">
        <f>ROUND(D92*G92*1.19,0)</f>
        <v/>
      </c>
      <c r="I92" s="5" t="n">
        <v>48734</v>
      </c>
      <c r="J92" s="5" t="n">
        <v>58481</v>
      </c>
      <c r="K92" s="5">
        <f>D92*I92</f>
        <v/>
      </c>
      <c r="L92" s="5">
        <f>D92*J92</f>
        <v/>
      </c>
      <c r="M92" s="5">
        <f>H92+Q92</f>
        <v/>
      </c>
      <c r="N92" s="5">
        <f>K92-M92</f>
        <v/>
      </c>
      <c r="O92" s="5">
        <f>L92-M92</f>
        <v/>
      </c>
      <c r="P92" s="5">
        <f>ROUND((E92-G92)*D92,0)</f>
        <v/>
      </c>
      <c r="Q92" s="5">
        <f>D92*10000</f>
        <v/>
      </c>
      <c r="R92" s="5">
        <f>K92-H92</f>
        <v/>
      </c>
      <c r="S92" s="5">
        <f>L92-H92</f>
        <v/>
      </c>
    </row>
    <row r="93">
      <c r="A93" s="3" t="inlineStr">
        <is>
          <t>KSL-3002</t>
        </is>
      </c>
      <c r="B93" s="3" t="inlineStr">
        <is>
          <t>Bieleta Estab. Duster</t>
        </is>
      </c>
      <c r="C93" s="3" t="inlineStr">
        <is>
          <t>Renault</t>
        </is>
      </c>
      <c r="D93" s="4" t="n">
        <v>2</v>
      </c>
      <c r="E93" s="5" t="n">
        <v>20110</v>
      </c>
      <c r="F93" s="5">
        <f>D93*E93</f>
        <v/>
      </c>
      <c r="G93" s="5" t="n">
        <v>15083</v>
      </c>
      <c r="H93" s="5">
        <f>ROUND(D93*G93*1.19,0)</f>
        <v/>
      </c>
      <c r="I93" s="5" t="n">
        <v>43501</v>
      </c>
      <c r="J93" s="5" t="n">
        <v>52201</v>
      </c>
      <c r="K93" s="5">
        <f>D93*I93</f>
        <v/>
      </c>
      <c r="L93" s="5">
        <f>D93*J93</f>
        <v/>
      </c>
      <c r="M93" s="5">
        <f>H93+Q93</f>
        <v/>
      </c>
      <c r="N93" s="5">
        <f>K93-M93</f>
        <v/>
      </c>
      <c r="O93" s="5">
        <f>L93-M93</f>
        <v/>
      </c>
      <c r="P93" s="5">
        <f>ROUND((E93-G93)*D93,0)</f>
        <v/>
      </c>
      <c r="Q93" s="5">
        <f>D93*10000</f>
        <v/>
      </c>
      <c r="R93" s="5">
        <f>K93-H93</f>
        <v/>
      </c>
      <c r="S93" s="5">
        <f>L93-H93</f>
        <v/>
      </c>
    </row>
    <row r="94">
      <c r="A94" s="3" t="inlineStr">
        <is>
          <t>KTR-6008</t>
        </is>
      </c>
      <c r="B94" s="3" t="inlineStr">
        <is>
          <t>Terminal Dir Logan I DER</t>
        </is>
      </c>
      <c r="C94" s="3" t="inlineStr">
        <is>
          <t>Renault</t>
        </is>
      </c>
      <c r="D94" s="4" t="n">
        <v>2</v>
      </c>
      <c r="E94" s="5" t="n">
        <v>27100</v>
      </c>
      <c r="F94" s="5">
        <f>D94*E94</f>
        <v/>
      </c>
      <c r="G94" s="5" t="n">
        <v>20325</v>
      </c>
      <c r="H94" s="5">
        <f>ROUND(D94*G94*1.19,0)</f>
        <v/>
      </c>
      <c r="I94" s="5" t="n">
        <v>54165</v>
      </c>
      <c r="J94" s="5" t="n">
        <v>64998</v>
      </c>
      <c r="K94" s="5">
        <f>D94*I94</f>
        <v/>
      </c>
      <c r="L94" s="5">
        <f>D94*J94</f>
        <v/>
      </c>
      <c r="M94" s="5">
        <f>H94+Q94</f>
        <v/>
      </c>
      <c r="N94" s="5">
        <f>K94-M94</f>
        <v/>
      </c>
      <c r="O94" s="5">
        <f>L94-M94</f>
        <v/>
      </c>
      <c r="P94" s="5">
        <f>ROUND((E94-G94)*D94,0)</f>
        <v/>
      </c>
      <c r="Q94" s="5">
        <f>D94*10000</f>
        <v/>
      </c>
      <c r="R94" s="5">
        <f>K94-H94</f>
        <v/>
      </c>
      <c r="S94" s="5">
        <f>L94-H94</f>
        <v/>
      </c>
    </row>
    <row r="95">
      <c r="A95" s="3" t="inlineStr">
        <is>
          <t>KRE-6209</t>
        </is>
      </c>
      <c r="B95" s="3" t="inlineStr">
        <is>
          <t>Terminal Axial Clio II-Megane I-Scenic I Larga 310mm</t>
        </is>
      </c>
      <c r="C95" s="3" t="inlineStr">
        <is>
          <t>Renault</t>
        </is>
      </c>
      <c r="D95" s="4" t="n">
        <v>2</v>
      </c>
      <c r="E95" s="5" t="n">
        <v>23320</v>
      </c>
      <c r="F95" s="5">
        <f>D95*E95</f>
        <v/>
      </c>
      <c r="G95" s="5" t="n">
        <v>17490</v>
      </c>
      <c r="H95" s="5">
        <f>ROUND(D95*G95*1.19,0)</f>
        <v/>
      </c>
      <c r="I95" s="5" t="n">
        <v>48398</v>
      </c>
      <c r="J95" s="5" t="n">
        <v>58078</v>
      </c>
      <c r="K95" s="5">
        <f>D95*I95</f>
        <v/>
      </c>
      <c r="L95" s="5">
        <f>D95*J95</f>
        <v/>
      </c>
      <c r="M95" s="5">
        <f>H95+Q95</f>
        <v/>
      </c>
      <c r="N95" s="5">
        <f>K95-M95</f>
        <v/>
      </c>
      <c r="O95" s="5">
        <f>L95-M95</f>
        <v/>
      </c>
      <c r="P95" s="5">
        <f>ROUND((E95-G95)*D95,0)</f>
        <v/>
      </c>
      <c r="Q95" s="5">
        <f>D95*10000</f>
        <v/>
      </c>
      <c r="R95" s="5">
        <f>K95-H95</f>
        <v/>
      </c>
      <c r="S95" s="5">
        <f>L95-H95</f>
        <v/>
      </c>
    </row>
    <row r="96">
      <c r="A96" s="3" t="inlineStr">
        <is>
          <t>KRE-6216</t>
        </is>
      </c>
      <c r="B96" s="3" t="inlineStr">
        <is>
          <t>Terminal Axial Twingo</t>
        </is>
      </c>
      <c r="C96" s="3" t="inlineStr">
        <is>
          <t>Renault</t>
        </is>
      </c>
      <c r="D96" s="4" t="n">
        <v>2</v>
      </c>
      <c r="E96" s="5" t="n">
        <v>23940</v>
      </c>
      <c r="F96" s="5">
        <f>D96*E96</f>
        <v/>
      </c>
      <c r="G96" s="5" t="n">
        <v>17955</v>
      </c>
      <c r="H96" s="5">
        <f>ROUND(D96*G96*1.19,0)</f>
        <v/>
      </c>
      <c r="I96" s="5" t="n">
        <v>49344</v>
      </c>
      <c r="J96" s="5" t="n">
        <v>59213</v>
      </c>
      <c r="K96" s="5">
        <f>D96*I96</f>
        <v/>
      </c>
      <c r="L96" s="5">
        <f>D96*J96</f>
        <v/>
      </c>
      <c r="M96" s="5">
        <f>H96+Q96</f>
        <v/>
      </c>
      <c r="N96" s="5">
        <f>K96-M96</f>
        <v/>
      </c>
      <c r="O96" s="5">
        <f>L96-M96</f>
        <v/>
      </c>
      <c r="P96" s="5">
        <f>ROUND((E96-G96)*D96,0)</f>
        <v/>
      </c>
      <c r="Q96" s="5">
        <f>D96*10000</f>
        <v/>
      </c>
      <c r="R96" s="5">
        <f>K96-H96</f>
        <v/>
      </c>
      <c r="S96" s="5">
        <f>L96-H96</f>
        <v/>
      </c>
    </row>
    <row r="97">
      <c r="A97" s="3" t="inlineStr">
        <is>
          <t>KSA-RE018</t>
        </is>
      </c>
      <c r="B97" s="3" t="inlineStr">
        <is>
          <t>AMORTIGUADOR RENAULT LOGAN 22-16 DELANTERO 277mm x2</t>
        </is>
      </c>
      <c r="C97" s="3" t="inlineStr">
        <is>
          <t>Renault</t>
        </is>
      </c>
      <c r="D97" s="4" t="n">
        <v>2</v>
      </c>
      <c r="E97" s="5" t="n">
        <v>105120</v>
      </c>
      <c r="F97" s="5">
        <f>D97*E97</f>
        <v/>
      </c>
      <c r="G97" s="5" t="n">
        <v>78840</v>
      </c>
      <c r="H97" s="5">
        <f>ROUND(D97*G97*1.19,0)</f>
        <v/>
      </c>
      <c r="I97" s="5" t="n">
        <v>173196</v>
      </c>
      <c r="J97" s="5" t="n">
        <v>207835</v>
      </c>
      <c r="K97" s="5">
        <f>D97*I97</f>
        <v/>
      </c>
      <c r="L97" s="5">
        <f>D97*J97</f>
        <v/>
      </c>
      <c r="M97" s="5">
        <f>H97+Q97</f>
        <v/>
      </c>
      <c r="N97" s="5">
        <f>K97-M97</f>
        <v/>
      </c>
      <c r="O97" s="5">
        <f>L97-M97</f>
        <v/>
      </c>
      <c r="P97" s="5">
        <f>ROUND((E97-G97)*D97,0)</f>
        <v/>
      </c>
      <c r="Q97" s="5">
        <f>D97*10000</f>
        <v/>
      </c>
      <c r="R97" s="5">
        <f>K97-H97</f>
        <v/>
      </c>
      <c r="S97" s="5">
        <f>L97-H97</f>
        <v/>
      </c>
    </row>
    <row r="98">
      <c r="A98" s="3" t="inlineStr">
        <is>
          <t>KTR-6015</t>
        </is>
      </c>
      <c r="B98" s="3" t="inlineStr">
        <is>
          <t>Terminal Dir Clio II-SY-Megane I-Kangoo-TW II IZQ</t>
        </is>
      </c>
      <c r="C98" s="3" t="inlineStr">
        <is>
          <t>Renault</t>
        </is>
      </c>
      <c r="D98" s="4" t="n">
        <v>2</v>
      </c>
      <c r="E98" s="5" t="n">
        <v>20810</v>
      </c>
      <c r="F98" s="5">
        <f>D98*E98</f>
        <v/>
      </c>
      <c r="G98" s="5" t="n">
        <v>15608</v>
      </c>
      <c r="H98" s="5">
        <f>ROUND(D98*G98*1.19,0)</f>
        <v/>
      </c>
      <c r="I98" s="5" t="n">
        <v>44569</v>
      </c>
      <c r="J98" s="5" t="n">
        <v>53483</v>
      </c>
      <c r="K98" s="5">
        <f>D98*I98</f>
        <v/>
      </c>
      <c r="L98" s="5">
        <f>D98*J98</f>
        <v/>
      </c>
      <c r="M98" s="5">
        <f>H98+Q98</f>
        <v/>
      </c>
      <c r="N98" s="5">
        <f>K98-M98</f>
        <v/>
      </c>
      <c r="O98" s="5">
        <f>L98-M98</f>
        <v/>
      </c>
      <c r="P98" s="5">
        <f>ROUND((E98-G98)*D98,0)</f>
        <v/>
      </c>
      <c r="Q98" s="5">
        <f>D98*10000</f>
        <v/>
      </c>
      <c r="R98" s="5">
        <f>K98-H98</f>
        <v/>
      </c>
      <c r="S98" s="5">
        <f>L98-H98</f>
        <v/>
      </c>
    </row>
    <row r="99">
      <c r="A99" s="3" t="inlineStr">
        <is>
          <t>KTR-6016</t>
        </is>
      </c>
      <c r="B99" s="3" t="inlineStr">
        <is>
          <t>Terminal Dir Clio II-SY-Megane I-Kangoo-TW II DER</t>
        </is>
      </c>
      <c r="C99" s="3" t="inlineStr">
        <is>
          <t>Renault</t>
        </is>
      </c>
      <c r="D99" s="4" t="n">
        <v>2</v>
      </c>
      <c r="E99" s="5" t="n">
        <v>20810</v>
      </c>
      <c r="F99" s="5">
        <f>D99*E99</f>
        <v/>
      </c>
      <c r="G99" s="5" t="n">
        <v>15608</v>
      </c>
      <c r="H99" s="5">
        <f>ROUND(D99*G99*1.19,0)</f>
        <v/>
      </c>
      <c r="I99" s="5" t="n">
        <v>44569</v>
      </c>
      <c r="J99" s="5" t="n">
        <v>53483</v>
      </c>
      <c r="K99" s="5">
        <f>D99*I99</f>
        <v/>
      </c>
      <c r="L99" s="5">
        <f>D99*J99</f>
        <v/>
      </c>
      <c r="M99" s="5">
        <f>H99+Q99</f>
        <v/>
      </c>
      <c r="N99" s="5">
        <f>K99-M99</f>
        <v/>
      </c>
      <c r="O99" s="5">
        <f>L99-M99</f>
        <v/>
      </c>
      <c r="P99" s="5">
        <f>ROUND((E99-G99)*D99,0)</f>
        <v/>
      </c>
      <c r="Q99" s="5">
        <f>D99*10000</f>
        <v/>
      </c>
      <c r="R99" s="5">
        <f>K99-H99</f>
        <v/>
      </c>
      <c r="S99" s="5">
        <f>L99-H99</f>
        <v/>
      </c>
    </row>
    <row r="100">
      <c r="A100" s="3" t="inlineStr">
        <is>
          <t>KSA-RE028</t>
        </is>
      </c>
      <c r="B100" s="3" t="inlineStr">
        <is>
          <t>Amortiguador Renault Kwid DEL (x2)</t>
        </is>
      </c>
      <c r="C100" s="3" t="inlineStr">
        <is>
          <t>Renault</t>
        </is>
      </c>
      <c r="D100" s="4" t="n">
        <v>2</v>
      </c>
      <c r="E100" s="5" t="n">
        <v>108060</v>
      </c>
      <c r="F100" s="5">
        <f>D100*E100</f>
        <v/>
      </c>
      <c r="G100" s="5" t="n">
        <v>81045</v>
      </c>
      <c r="H100" s="5">
        <f>ROUND(D100*G100*1.19,0)</f>
        <v/>
      </c>
      <c r="I100" s="5" t="n">
        <v>177681</v>
      </c>
      <c r="J100" s="5" t="n">
        <v>213218</v>
      </c>
      <c r="K100" s="5">
        <f>D100*I100</f>
        <v/>
      </c>
      <c r="L100" s="5">
        <f>D100*J100</f>
        <v/>
      </c>
      <c r="M100" s="5">
        <f>H100+Q100</f>
        <v/>
      </c>
      <c r="N100" s="5">
        <f>K100-M100</f>
        <v/>
      </c>
      <c r="O100" s="5">
        <f>L100-M100</f>
        <v/>
      </c>
      <c r="P100" s="5">
        <f>ROUND((E100-G100)*D100,0)</f>
        <v/>
      </c>
      <c r="Q100" s="5">
        <f>D100*10000</f>
        <v/>
      </c>
      <c r="R100" s="5">
        <f>K100-H100</f>
        <v/>
      </c>
      <c r="S100" s="5">
        <f>L100-H100</f>
        <v/>
      </c>
    </row>
    <row r="101">
      <c r="A101" s="3" t="inlineStr">
        <is>
          <t>KSA-RE029</t>
        </is>
      </c>
      <c r="B101" s="3" t="inlineStr">
        <is>
          <t>Amortiguador Renault Kwid TRAS (x2)</t>
        </is>
      </c>
      <c r="C101" s="3" t="inlineStr">
        <is>
          <t>Renault</t>
        </is>
      </c>
      <c r="D101" s="4" t="n">
        <v>2</v>
      </c>
      <c r="E101" s="5" t="n">
        <v>64150</v>
      </c>
      <c r="F101" s="5">
        <f>D101*E101</f>
        <v/>
      </c>
      <c r="G101" s="5" t="n">
        <v>48113</v>
      </c>
      <c r="H101" s="5">
        <f>ROUND(D101*G101*1.19,0)</f>
        <v/>
      </c>
      <c r="I101" s="5" t="n">
        <v>110690</v>
      </c>
      <c r="J101" s="5" t="n">
        <v>132828</v>
      </c>
      <c r="K101" s="5">
        <f>D101*I101</f>
        <v/>
      </c>
      <c r="L101" s="5">
        <f>D101*J101</f>
        <v/>
      </c>
      <c r="M101" s="5">
        <f>H101+Q101</f>
        <v/>
      </c>
      <c r="N101" s="5">
        <f>K101-M101</f>
        <v/>
      </c>
      <c r="O101" s="5">
        <f>L101-M101</f>
        <v/>
      </c>
      <c r="P101" s="5">
        <f>ROUND((E101-G101)*D101,0)</f>
        <v/>
      </c>
      <c r="Q101" s="5">
        <f>D101*10000</f>
        <v/>
      </c>
      <c r="R101" s="5">
        <f>K101-H101</f>
        <v/>
      </c>
      <c r="S101" s="5">
        <f>L101-H101</f>
        <v/>
      </c>
    </row>
    <row r="102">
      <c r="A102" s="3" t="inlineStr">
        <is>
          <t>KRE-6401</t>
        </is>
      </c>
      <c r="B102" s="3" t="inlineStr">
        <is>
          <t>Terminal Axial Swift 1.2 1.4 18-13</t>
        </is>
      </c>
      <c r="C102" s="3" t="inlineStr">
        <is>
          <t>Suzuki</t>
        </is>
      </c>
      <c r="D102" s="4" t="n">
        <v>2</v>
      </c>
      <c r="E102" s="5" t="n">
        <v>25650</v>
      </c>
      <c r="F102" s="5">
        <f>D102*E102</f>
        <v/>
      </c>
      <c r="G102" s="5" t="n">
        <v>19238</v>
      </c>
      <c r="H102" s="5">
        <f>ROUND(D102*G102*1.19,0)</f>
        <v/>
      </c>
      <c r="I102" s="5" t="n">
        <v>51953</v>
      </c>
      <c r="J102" s="5" t="n">
        <v>62344</v>
      </c>
      <c r="K102" s="5">
        <f>D102*I102</f>
        <v/>
      </c>
      <c r="L102" s="5">
        <f>D102*J102</f>
        <v/>
      </c>
      <c r="M102" s="5">
        <f>H102+Q102</f>
        <v/>
      </c>
      <c r="N102" s="5">
        <f>K102-M102</f>
        <v/>
      </c>
      <c r="O102" s="5">
        <f>L102-M102</f>
        <v/>
      </c>
      <c r="P102" s="5">
        <f>ROUND((E102-G102)*D102,0)</f>
        <v/>
      </c>
      <c r="Q102" s="5">
        <f>D102*10000</f>
        <v/>
      </c>
      <c r="R102" s="5">
        <f>K102-H102</f>
        <v/>
      </c>
      <c r="S102" s="5">
        <f>L102-H102</f>
        <v/>
      </c>
    </row>
    <row r="103">
      <c r="A103" s="3" t="inlineStr">
        <is>
          <t>KSL-5151</t>
        </is>
      </c>
      <c r="B103" s="3" t="inlineStr">
        <is>
          <t>Bieleta Estab. Hilux Vigo 4x4 Fortuner-Prado Del IZQ</t>
        </is>
      </c>
      <c r="C103" s="3" t="inlineStr">
        <is>
          <t>Toyota</t>
        </is>
      </c>
      <c r="D103" s="4" t="n">
        <v>2</v>
      </c>
      <c r="E103" s="5" t="n">
        <v>24070</v>
      </c>
      <c r="F103" s="5">
        <f>D103*E103</f>
        <v/>
      </c>
      <c r="G103" s="5" t="n">
        <v>18053</v>
      </c>
      <c r="H103" s="5">
        <f>ROUND(D103*G103*1.19,0)</f>
        <v/>
      </c>
      <c r="I103" s="5" t="n">
        <v>49543</v>
      </c>
      <c r="J103" s="5" t="n">
        <v>59451</v>
      </c>
      <c r="K103" s="5">
        <f>D103*I103</f>
        <v/>
      </c>
      <c r="L103" s="5">
        <f>D103*J103</f>
        <v/>
      </c>
      <c r="M103" s="5">
        <f>H103+Q103</f>
        <v/>
      </c>
      <c r="N103" s="5">
        <f>K103-M103</f>
        <v/>
      </c>
      <c r="O103" s="5">
        <f>L103-M103</f>
        <v/>
      </c>
      <c r="P103" s="5">
        <f>ROUND((E103-G103)*D103,0)</f>
        <v/>
      </c>
      <c r="Q103" s="5">
        <f>D103*10000</f>
        <v/>
      </c>
      <c r="R103" s="5">
        <f>K103-H103</f>
        <v/>
      </c>
      <c r="S103" s="5">
        <f>L103-H103</f>
        <v/>
      </c>
    </row>
    <row r="104">
      <c r="A104" s="3" t="inlineStr">
        <is>
          <t>KSL-5150</t>
        </is>
      </c>
      <c r="B104" s="3" t="inlineStr">
        <is>
          <t>Bieleta Estab. Hilux Vigo 4x4 Fortuner-Prado Del DER</t>
        </is>
      </c>
      <c r="C104" s="3" t="inlineStr">
        <is>
          <t>Toyota</t>
        </is>
      </c>
      <c r="D104" s="4" t="n">
        <v>2</v>
      </c>
      <c r="E104" s="5" t="n">
        <v>24070</v>
      </c>
      <c r="F104" s="5">
        <f>D104*E104</f>
        <v/>
      </c>
      <c r="G104" s="5" t="n">
        <v>18053</v>
      </c>
      <c r="H104" s="5">
        <f>ROUND(D104*G104*1.19,0)</f>
        <v/>
      </c>
      <c r="I104" s="5" t="n">
        <v>49543</v>
      </c>
      <c r="J104" s="5" t="n">
        <v>59451</v>
      </c>
      <c r="K104" s="5">
        <f>D104*I104</f>
        <v/>
      </c>
      <c r="L104" s="5">
        <f>D104*J104</f>
        <v/>
      </c>
      <c r="M104" s="5">
        <f>H104+Q104</f>
        <v/>
      </c>
      <c r="N104" s="5">
        <f>K104-M104</f>
        <v/>
      </c>
      <c r="O104" s="5">
        <f>L104-M104</f>
        <v/>
      </c>
      <c r="P104" s="5">
        <f>ROUND((E104-G104)*D104,0)</f>
        <v/>
      </c>
      <c r="Q104" s="5">
        <f>D104*10000</f>
        <v/>
      </c>
      <c r="R104" s="5">
        <f>K104-H104</f>
        <v/>
      </c>
      <c r="S104" s="5">
        <f>L104-H104</f>
        <v/>
      </c>
    </row>
    <row r="105">
      <c r="A105" s="3" t="inlineStr">
        <is>
          <t>KRE-5206</t>
        </is>
      </c>
      <c r="B105" s="3" t="inlineStr">
        <is>
          <t>Terminal Axial Hilux Vigo 4x4 05 Fortuner-Revo</t>
        </is>
      </c>
      <c r="C105" s="3" t="inlineStr">
        <is>
          <t>Toyota</t>
        </is>
      </c>
      <c r="D105" s="4" t="n">
        <v>2</v>
      </c>
      <c r="E105" s="5" t="n">
        <v>27020</v>
      </c>
      <c r="F105" s="5">
        <f>D105*E105</f>
        <v/>
      </c>
      <c r="G105" s="5" t="n">
        <v>20265</v>
      </c>
      <c r="H105" s="5">
        <f>ROUND(D105*G105*1.19,0)</f>
        <v/>
      </c>
      <c r="I105" s="5" t="n">
        <v>54043</v>
      </c>
      <c r="J105" s="5" t="n">
        <v>64852</v>
      </c>
      <c r="K105" s="5">
        <f>D105*I105</f>
        <v/>
      </c>
      <c r="L105" s="5">
        <f>D105*J105</f>
        <v/>
      </c>
      <c r="M105" s="5">
        <f>H105+Q105</f>
        <v/>
      </c>
      <c r="N105" s="5">
        <f>K105-M105</f>
        <v/>
      </c>
      <c r="O105" s="5">
        <f>L105-M105</f>
        <v/>
      </c>
      <c r="P105" s="5">
        <f>ROUND((E105-G105)*D105,0)</f>
        <v/>
      </c>
      <c r="Q105" s="5">
        <f>D105*10000</f>
        <v/>
      </c>
      <c r="R105" s="5">
        <f>K105-H105</f>
        <v/>
      </c>
      <c r="S105" s="5">
        <f>L105-H105</f>
        <v/>
      </c>
    </row>
    <row r="106">
      <c r="A106" s="3" t="inlineStr">
        <is>
          <t>KBJ-6108</t>
        </is>
      </c>
      <c r="B106" s="3" t="inlineStr">
        <is>
          <t>Rótula VW Golf 1.6 Jetta 1.8-2.0 DER</t>
        </is>
      </c>
      <c r="C106" s="3" t="inlineStr">
        <is>
          <t>Volkswagen</t>
        </is>
      </c>
      <c r="D106" s="4" t="n">
        <v>2</v>
      </c>
      <c r="E106" s="5" t="n">
        <v>28950</v>
      </c>
      <c r="F106" s="5">
        <f>D106*E106</f>
        <v/>
      </c>
      <c r="G106" s="5" t="n">
        <v>21713</v>
      </c>
      <c r="H106" s="5">
        <f>ROUND(D106*G106*1.19,0)</f>
        <v/>
      </c>
      <c r="I106" s="5" t="n">
        <v>56988</v>
      </c>
      <c r="J106" s="5" t="n">
        <v>68385</v>
      </c>
      <c r="K106" s="5">
        <f>D106*I106</f>
        <v/>
      </c>
      <c r="L106" s="5">
        <f>D106*J106</f>
        <v/>
      </c>
      <c r="M106" s="5">
        <f>H106+Q106</f>
        <v/>
      </c>
      <c r="N106" s="5">
        <f>K106-M106</f>
        <v/>
      </c>
      <c r="O106" s="5">
        <f>L106-M106</f>
        <v/>
      </c>
      <c r="P106" s="5">
        <f>ROUND((E106-G106)*D106,0)</f>
        <v/>
      </c>
      <c r="Q106" s="5">
        <f>D106*10000</f>
        <v/>
      </c>
      <c r="R106" s="5">
        <f>K106-H106</f>
        <v/>
      </c>
      <c r="S106" s="5">
        <f>L106-H106</f>
        <v/>
      </c>
    </row>
    <row r="107">
      <c r="A107" s="3" t="inlineStr">
        <is>
          <t>KBJ-6109</t>
        </is>
      </c>
      <c r="B107" s="3" t="inlineStr">
        <is>
          <t>Rótula VW Golf 1.6 Jetta 1.8-2.0 IZQ</t>
        </is>
      </c>
      <c r="C107" s="3" t="inlineStr">
        <is>
          <t>Volkswagen</t>
        </is>
      </c>
      <c r="D107" s="4" t="n">
        <v>2</v>
      </c>
      <c r="E107" s="5" t="n">
        <v>27150</v>
      </c>
      <c r="F107" s="5">
        <f>D107*E107</f>
        <v/>
      </c>
      <c r="G107" s="5" t="n">
        <v>20363</v>
      </c>
      <c r="H107" s="5">
        <f>ROUND(D107*G107*1.19,0)</f>
        <v/>
      </c>
      <c r="I107" s="5" t="n">
        <v>54242</v>
      </c>
      <c r="J107" s="5" t="n">
        <v>65090</v>
      </c>
      <c r="K107" s="5">
        <f>D107*I107</f>
        <v/>
      </c>
      <c r="L107" s="5">
        <f>D107*J107</f>
        <v/>
      </c>
      <c r="M107" s="5">
        <f>H107+Q107</f>
        <v/>
      </c>
      <c r="N107" s="5">
        <f>K107-M107</f>
        <v/>
      </c>
      <c r="O107" s="5">
        <f>L107-M107</f>
        <v/>
      </c>
      <c r="P107" s="5">
        <f>ROUND((E107-G107)*D107,0)</f>
        <v/>
      </c>
      <c r="Q107" s="5">
        <f>D107*10000</f>
        <v/>
      </c>
      <c r="R107" s="5">
        <f>K107-H107</f>
        <v/>
      </c>
      <c r="S107" s="5">
        <f>L107-H107</f>
        <v/>
      </c>
    </row>
    <row r="108">
      <c r="A108" s="3" t="inlineStr">
        <is>
          <t>KRE-6802</t>
        </is>
      </c>
      <c r="B108" s="3" t="inlineStr">
        <is>
          <t>Terminal Axial VW Golf IV DER</t>
        </is>
      </c>
      <c r="C108" s="3" t="inlineStr">
        <is>
          <t>Volkswagen</t>
        </is>
      </c>
      <c r="D108" s="4" t="n">
        <v>2</v>
      </c>
      <c r="E108" s="5" t="n">
        <v>24110</v>
      </c>
      <c r="F108" s="5">
        <f>D108*E108</f>
        <v/>
      </c>
      <c r="G108" s="5" t="n">
        <v>18083</v>
      </c>
      <c r="H108" s="5">
        <f>ROUND(D108*G108*1.19,0)</f>
        <v/>
      </c>
      <c r="I108" s="5" t="n">
        <v>49604</v>
      </c>
      <c r="J108" s="5" t="n">
        <v>59524</v>
      </c>
      <c r="K108" s="5">
        <f>D108*I108</f>
        <v/>
      </c>
      <c r="L108" s="5">
        <f>D108*J108</f>
        <v/>
      </c>
      <c r="M108" s="5">
        <f>H108+Q108</f>
        <v/>
      </c>
      <c r="N108" s="5">
        <f>K108-M108</f>
        <v/>
      </c>
      <c r="O108" s="5">
        <f>L108-M108</f>
        <v/>
      </c>
      <c r="P108" s="5">
        <f>ROUND((E108-G108)*D108,0)</f>
        <v/>
      </c>
      <c r="Q108" s="5">
        <f>D108*10000</f>
        <v/>
      </c>
      <c r="R108" s="5">
        <f>K108-H108</f>
        <v/>
      </c>
      <c r="S108" s="5">
        <f>L108-H108</f>
        <v/>
      </c>
    </row>
    <row r="109">
      <c r="A109" s="3" t="inlineStr">
        <is>
          <t>KSL-6022</t>
        </is>
      </c>
      <c r="B109" s="3" t="inlineStr">
        <is>
          <t>Bieleta Estab. VW Golf-Jetta 03-00</t>
        </is>
      </c>
      <c r="C109" s="3" t="inlineStr">
        <is>
          <t>Volkswagen</t>
        </is>
      </c>
      <c r="D109" s="4" t="n">
        <v>2</v>
      </c>
      <c r="E109" s="5" t="n">
        <v>21520</v>
      </c>
      <c r="F109" s="5">
        <f>D109*E109</f>
        <v/>
      </c>
      <c r="G109" s="5" t="n">
        <v>16140</v>
      </c>
      <c r="H109" s="5">
        <f>ROUND(D109*G109*1.19,0)</f>
        <v/>
      </c>
      <c r="I109" s="5" t="n">
        <v>45652</v>
      </c>
      <c r="J109" s="5" t="n">
        <v>54783</v>
      </c>
      <c r="K109" s="5">
        <f>D109*I109</f>
        <v/>
      </c>
      <c r="L109" s="5">
        <f>D109*J109</f>
        <v/>
      </c>
      <c r="M109" s="5">
        <f>H109+Q109</f>
        <v/>
      </c>
      <c r="N109" s="5">
        <f>K109-M109</f>
        <v/>
      </c>
      <c r="O109" s="5">
        <f>L109-M109</f>
        <v/>
      </c>
      <c r="P109" s="5">
        <f>ROUND((E109-G109)*D109,0)</f>
        <v/>
      </c>
      <c r="Q109" s="5">
        <f>D109*10000</f>
        <v/>
      </c>
      <c r="R109" s="5">
        <f>K109-H109</f>
        <v/>
      </c>
      <c r="S109" s="5">
        <f>L109-H109</f>
        <v/>
      </c>
    </row>
    <row r="110">
      <c r="A110" s="3" t="inlineStr">
        <is>
          <t>7700820028</t>
        </is>
      </c>
      <c r="B110" s="3" t="inlineStr">
        <is>
          <t>TIJERA DEL LH TWINGO</t>
        </is>
      </c>
      <c r="C110" s="3" t="inlineStr">
        <is>
          <t>Renault</t>
        </is>
      </c>
      <c r="D110" s="4" t="n">
        <v>1</v>
      </c>
      <c r="E110" s="5" t="n">
        <v>63026</v>
      </c>
      <c r="F110" s="5">
        <f>D110*E110</f>
        <v/>
      </c>
      <c r="G110" s="5" t="n">
        <v>56723</v>
      </c>
      <c r="H110" s="5">
        <f>ROUND(D110*G110*1.19,0)</f>
        <v/>
      </c>
      <c r="I110" s="5" t="n">
        <v>108975</v>
      </c>
      <c r="J110" s="5" t="n">
        <v>130770</v>
      </c>
      <c r="K110" s="5">
        <f>D110*I110</f>
        <v/>
      </c>
      <c r="L110" s="5">
        <f>D110*J110</f>
        <v/>
      </c>
      <c r="M110" s="5">
        <f>H110+Q110</f>
        <v/>
      </c>
      <c r="N110" s="5">
        <f>K110-M110</f>
        <v/>
      </c>
      <c r="O110" s="5">
        <f>L110-M110</f>
        <v/>
      </c>
      <c r="P110" s="5">
        <f>ROUND((E110-G110)*D110,0)</f>
        <v/>
      </c>
      <c r="Q110" s="5">
        <f>D110*10000</f>
        <v/>
      </c>
      <c r="R110" s="5">
        <f>K110-H110</f>
        <v/>
      </c>
      <c r="S110" s="5">
        <f>L110-H110</f>
        <v/>
      </c>
    </row>
    <row r="111">
      <c r="A111" s="3" t="inlineStr">
        <is>
          <t>7700820029</t>
        </is>
      </c>
      <c r="B111" s="3" t="inlineStr">
        <is>
          <t>TIJERA DEL LH TWINGO</t>
        </is>
      </c>
      <c r="C111" s="3" t="inlineStr">
        <is>
          <t>Renault</t>
        </is>
      </c>
      <c r="D111" s="4" t="n">
        <v>1</v>
      </c>
      <c r="E111" s="5" t="n">
        <v>63026</v>
      </c>
      <c r="F111" s="5">
        <f>D111*E111</f>
        <v/>
      </c>
      <c r="G111" s="5" t="n">
        <v>56723</v>
      </c>
      <c r="H111" s="5">
        <f>ROUND(D111*G111*1.19,0)</f>
        <v/>
      </c>
      <c r="I111" s="5" t="n">
        <v>108975</v>
      </c>
      <c r="J111" s="5" t="n">
        <v>130770</v>
      </c>
      <c r="K111" s="5">
        <f>D111*I111</f>
        <v/>
      </c>
      <c r="L111" s="5">
        <f>D111*J111</f>
        <v/>
      </c>
      <c r="M111" s="5">
        <f>H111+Q111</f>
        <v/>
      </c>
      <c r="N111" s="5">
        <f>K111-M111</f>
        <v/>
      </c>
      <c r="O111" s="5">
        <f>L111-M111</f>
        <v/>
      </c>
      <c r="P111" s="5">
        <f>ROUND((E111-G111)*D111,0)</f>
        <v/>
      </c>
      <c r="Q111" s="5">
        <f>D111*10000</f>
        <v/>
      </c>
      <c r="R111" s="5">
        <f>K111-H111</f>
        <v/>
      </c>
      <c r="S111" s="5">
        <f>L111-H111</f>
        <v/>
      </c>
    </row>
    <row r="112">
      <c r="A112" s="3" t="inlineStr">
        <is>
          <t>54501-1697R</t>
        </is>
      </c>
      <c r="B112" s="3" t="inlineStr">
        <is>
          <t>TIJERA DELANTERA RH TWINGO</t>
        </is>
      </c>
      <c r="C112" s="3" t="inlineStr">
        <is>
          <t>Renault</t>
        </is>
      </c>
      <c r="D112" s="4" t="n">
        <v>1</v>
      </c>
      <c r="E112" s="5" t="n">
        <v>71428</v>
      </c>
      <c r="F112" s="5">
        <f>D112*E112</f>
        <v/>
      </c>
      <c r="G112" s="5" t="n">
        <v>64286</v>
      </c>
      <c r="H112" s="5">
        <f>ROUND(D112*G112*1.19,0)</f>
        <v/>
      </c>
      <c r="I112" s="5" t="n">
        <v>121795</v>
      </c>
      <c r="J112" s="5" t="n">
        <v>146154</v>
      </c>
      <c r="K112" s="5">
        <f>D112*I112</f>
        <v/>
      </c>
      <c r="L112" s="5">
        <f>D112*J112</f>
        <v/>
      </c>
      <c r="M112" s="5">
        <f>H112+Q112</f>
        <v/>
      </c>
      <c r="N112" s="5">
        <f>K112-M112</f>
        <v/>
      </c>
      <c r="O112" s="5">
        <f>L112-M112</f>
        <v/>
      </c>
      <c r="P112" s="5">
        <f>ROUND((E112-G112)*D112,0)</f>
        <v/>
      </c>
      <c r="Q112" s="5">
        <f>D112*10000</f>
        <v/>
      </c>
      <c r="R112" s="5">
        <f>K112-H112</f>
        <v/>
      </c>
      <c r="S112" s="5">
        <f>L112-H112</f>
        <v/>
      </c>
    </row>
    <row r="113">
      <c r="A113" s="3" t="inlineStr">
        <is>
          <t>545001138R</t>
        </is>
      </c>
      <c r="B113" s="3" t="inlineStr">
        <is>
          <t>TIJERA DELANTERA RH DUSTER/OROCH</t>
        </is>
      </c>
      <c r="C113" s="3" t="inlineStr">
        <is>
          <t>Renault</t>
        </is>
      </c>
      <c r="D113" s="4" t="n">
        <v>1</v>
      </c>
      <c r="E113" s="5" t="n">
        <v>71428</v>
      </c>
      <c r="F113" s="5">
        <f>D113*E113</f>
        <v/>
      </c>
      <c r="G113" s="5" t="n">
        <v>64286</v>
      </c>
      <c r="H113" s="5">
        <f>ROUND(D113*G113*1.19,0)</f>
        <v/>
      </c>
      <c r="I113" s="5" t="n">
        <v>121795</v>
      </c>
      <c r="J113" s="5" t="n">
        <v>146154</v>
      </c>
      <c r="K113" s="5">
        <f>D113*I113</f>
        <v/>
      </c>
      <c r="L113" s="5">
        <f>D113*J113</f>
        <v/>
      </c>
      <c r="M113" s="5">
        <f>H113+Q113</f>
        <v/>
      </c>
      <c r="N113" s="5">
        <f>K113-M113</f>
        <v/>
      </c>
      <c r="O113" s="5">
        <f>L113-M113</f>
        <v/>
      </c>
      <c r="P113" s="5">
        <f>ROUND((E113-G113)*D113,0)</f>
        <v/>
      </c>
      <c r="Q113" s="5">
        <f>D113*10000</f>
        <v/>
      </c>
      <c r="R113" s="5">
        <f>K113-H113</f>
        <v/>
      </c>
      <c r="S113" s="5">
        <f>L113-H113</f>
        <v/>
      </c>
    </row>
    <row r="114">
      <c r="A114" s="3" t="inlineStr">
        <is>
          <t>54500A269R</t>
        </is>
      </c>
      <c r="B114" s="3" t="inlineStr">
        <is>
          <t>TIJERA DEL LH DUSTER/OROCH</t>
        </is>
      </c>
      <c r="C114" s="3" t="inlineStr">
        <is>
          <t>Renault</t>
        </is>
      </c>
      <c r="D114" s="4" t="n">
        <v>1</v>
      </c>
      <c r="E114" s="5" t="n">
        <v>58824</v>
      </c>
      <c r="F114" s="5">
        <f>D114*E114</f>
        <v/>
      </c>
      <c r="G114" s="5" t="n">
        <v>52942</v>
      </c>
      <c r="H114" s="5">
        <f>ROUND(D114*G114*1.19,0)</f>
        <v/>
      </c>
      <c r="I114" s="5" t="n">
        <v>102565</v>
      </c>
      <c r="J114" s="5" t="n">
        <v>123078</v>
      </c>
      <c r="K114" s="5">
        <f>D114*I114</f>
        <v/>
      </c>
      <c r="L114" s="5">
        <f>D114*J114</f>
        <v/>
      </c>
      <c r="M114" s="5">
        <f>H114+Q114</f>
        <v/>
      </c>
      <c r="N114" s="5">
        <f>K114-M114</f>
        <v/>
      </c>
      <c r="O114" s="5">
        <f>L114-M114</f>
        <v/>
      </c>
      <c r="P114" s="5">
        <f>ROUND((E114-G114)*D114,0)</f>
        <v/>
      </c>
      <c r="Q114" s="5">
        <f>D114*10000</f>
        <v/>
      </c>
      <c r="R114" s="5">
        <f>K114-H114</f>
        <v/>
      </c>
      <c r="S114" s="5">
        <f>L114-H114</f>
        <v/>
      </c>
    </row>
    <row r="115">
      <c r="A115" s="3" t="inlineStr">
        <is>
          <t>54500A268R</t>
        </is>
      </c>
      <c r="B115" s="3" t="inlineStr">
        <is>
          <t>TIJERA DEL RH LOGAN/SANDERO/2016</t>
        </is>
      </c>
      <c r="C115" s="3" t="inlineStr">
        <is>
          <t>Renault</t>
        </is>
      </c>
      <c r="D115" s="4" t="n">
        <v>1</v>
      </c>
      <c r="E115" s="5" t="n">
        <v>58824</v>
      </c>
      <c r="F115" s="5">
        <f>D115*E115</f>
        <v/>
      </c>
      <c r="G115" s="5" t="n">
        <v>52942</v>
      </c>
      <c r="H115" s="5">
        <f>ROUND(D115*G115*1.19,0)</f>
        <v/>
      </c>
      <c r="I115" s="5" t="n">
        <v>102565</v>
      </c>
      <c r="J115" s="5" t="n">
        <v>123078</v>
      </c>
      <c r="K115" s="5">
        <f>D115*I115</f>
        <v/>
      </c>
      <c r="L115" s="5">
        <f>D115*J115</f>
        <v/>
      </c>
      <c r="M115" s="5">
        <f>H115+Q115</f>
        <v/>
      </c>
      <c r="N115" s="5">
        <f>K115-M115</f>
        <v/>
      </c>
      <c r="O115" s="5">
        <f>L115-M115</f>
        <v/>
      </c>
      <c r="P115" s="5">
        <f>ROUND((E115-G115)*D115,0)</f>
        <v/>
      </c>
      <c r="Q115" s="5">
        <f>D115*10000</f>
        <v/>
      </c>
      <c r="R115" s="5">
        <f>K115-H115</f>
        <v/>
      </c>
      <c r="S115" s="5">
        <f>L115-H115</f>
        <v/>
      </c>
    </row>
    <row r="116">
      <c r="A116" s="3" t="inlineStr">
        <is>
          <t>545010294R</t>
        </is>
      </c>
      <c r="B116" s="3" t="inlineStr">
        <is>
          <t>TIJERA DEL LH LOGAN II/SANDERO II</t>
        </is>
      </c>
      <c r="C116" s="3" t="inlineStr">
        <is>
          <t>Renault</t>
        </is>
      </c>
      <c r="D116" s="4" t="n">
        <v>1</v>
      </c>
      <c r="E116" s="5" t="n">
        <v>58824</v>
      </c>
      <c r="F116" s="5">
        <f>D116*E116</f>
        <v/>
      </c>
      <c r="G116" s="5" t="n">
        <v>52942</v>
      </c>
      <c r="H116" s="5">
        <f>ROUND(D116*G116*1.19,0)</f>
        <v/>
      </c>
      <c r="I116" s="5" t="n">
        <v>102565</v>
      </c>
      <c r="J116" s="5" t="n">
        <v>123078</v>
      </c>
      <c r="K116" s="5">
        <f>D116*I116</f>
        <v/>
      </c>
      <c r="L116" s="5">
        <f>D116*J116</f>
        <v/>
      </c>
      <c r="M116" s="5">
        <f>H116+Q116</f>
        <v/>
      </c>
      <c r="N116" s="5">
        <f>K116-M116</f>
        <v/>
      </c>
      <c r="O116" s="5">
        <f>L116-M116</f>
        <v/>
      </c>
      <c r="P116" s="5">
        <f>ROUND((E116-G116)*D116,0)</f>
        <v/>
      </c>
      <c r="Q116" s="5">
        <f>D116*10000</f>
        <v/>
      </c>
      <c r="R116" s="5">
        <f>K116-H116</f>
        <v/>
      </c>
      <c r="S116" s="5">
        <f>L116-H116</f>
        <v/>
      </c>
    </row>
    <row r="117">
      <c r="A117" s="3" t="inlineStr">
        <is>
          <t>545004529R</t>
        </is>
      </c>
      <c r="B117" s="3" t="inlineStr">
        <is>
          <t>TIJERA DEL LH LOGAN II/SANDERO II</t>
        </is>
      </c>
      <c r="C117" s="3" t="inlineStr">
        <is>
          <t>Renault</t>
        </is>
      </c>
      <c r="D117" s="4" t="n">
        <v>1</v>
      </c>
      <c r="E117" s="5" t="n">
        <v>58824</v>
      </c>
      <c r="F117" s="5">
        <f>D117*E117</f>
        <v/>
      </c>
      <c r="G117" s="5" t="n">
        <v>52942</v>
      </c>
      <c r="H117" s="5">
        <f>ROUND(D117*G117*1.19,0)</f>
        <v/>
      </c>
      <c r="I117" s="5" t="n">
        <v>102565</v>
      </c>
      <c r="J117" s="5" t="n">
        <v>123078</v>
      </c>
      <c r="K117" s="5">
        <f>D117*I117</f>
        <v/>
      </c>
      <c r="L117" s="5">
        <f>D117*J117</f>
        <v/>
      </c>
      <c r="M117" s="5">
        <f>H117+Q117</f>
        <v/>
      </c>
      <c r="N117" s="5">
        <f>K117-M117</f>
        <v/>
      </c>
      <c r="O117" s="5">
        <f>L117-M117</f>
        <v/>
      </c>
      <c r="P117" s="5">
        <f>ROUND((E117-G117)*D117,0)</f>
        <v/>
      </c>
      <c r="Q117" s="5">
        <f>D117*10000</f>
        <v/>
      </c>
      <c r="R117" s="5">
        <f>K117-H117</f>
        <v/>
      </c>
      <c r="S117" s="5">
        <f>L117-H117</f>
        <v/>
      </c>
    </row>
    <row r="118">
      <c r="A118" s="3" t="inlineStr">
        <is>
          <t>54501-0000M</t>
        </is>
      </c>
      <c r="B118" s="3" t="inlineStr">
        <is>
          <t>TIJERA DEL LH CLIO II/SYMBOL</t>
        </is>
      </c>
      <c r="C118" s="3" t="inlineStr">
        <is>
          <t>Renault</t>
        </is>
      </c>
      <c r="D118" s="4" t="n">
        <v>1</v>
      </c>
      <c r="E118" s="5" t="n">
        <v>58824</v>
      </c>
      <c r="F118" s="5">
        <f>D118*E118</f>
        <v/>
      </c>
      <c r="G118" s="5" t="n">
        <v>52942</v>
      </c>
      <c r="H118" s="5">
        <f>ROUND(D118*G118*1.19,0)</f>
        <v/>
      </c>
      <c r="I118" s="5" t="n">
        <v>102565</v>
      </c>
      <c r="J118" s="5" t="n">
        <v>123078</v>
      </c>
      <c r="K118" s="5">
        <f>D118*I118</f>
        <v/>
      </c>
      <c r="L118" s="5">
        <f>D118*J118</f>
        <v/>
      </c>
      <c r="M118" s="5">
        <f>H118+Q118</f>
        <v/>
      </c>
      <c r="N118" s="5">
        <f>K118-M118</f>
        <v/>
      </c>
      <c r="O118" s="5">
        <f>L118-M118</f>
        <v/>
      </c>
      <c r="P118" s="5">
        <f>ROUND((E118-G118)*D118,0)</f>
        <v/>
      </c>
      <c r="Q118" s="5">
        <f>D118*10000</f>
        <v/>
      </c>
      <c r="R118" s="5">
        <f>K118-H118</f>
        <v/>
      </c>
      <c r="S118" s="5">
        <f>L118-H118</f>
        <v/>
      </c>
    </row>
    <row r="119">
      <c r="A119" s="3" t="inlineStr">
        <is>
          <t>5450-0000M</t>
        </is>
      </c>
      <c r="B119" s="3" t="inlineStr">
        <is>
          <t>TIJERA DEL RH CLIO II/SYMBOL</t>
        </is>
      </c>
      <c r="C119" s="3" t="inlineStr">
        <is>
          <t>Renault</t>
        </is>
      </c>
      <c r="D119" s="4" t="n">
        <v>1</v>
      </c>
      <c r="E119" s="5" t="n">
        <v>58824</v>
      </c>
      <c r="F119" s="5">
        <f>D119*E119</f>
        <v/>
      </c>
      <c r="G119" s="5" t="n">
        <v>52942</v>
      </c>
      <c r="H119" s="5">
        <f>ROUND(D119*G119*1.19,0)</f>
        <v/>
      </c>
      <c r="I119" s="5" t="n">
        <v>102565</v>
      </c>
      <c r="J119" s="5" t="n">
        <v>123078</v>
      </c>
      <c r="K119" s="5">
        <f>D119*I119</f>
        <v/>
      </c>
      <c r="L119" s="5">
        <f>D119*J119</f>
        <v/>
      </c>
      <c r="M119" s="5">
        <f>H119+Q119</f>
        <v/>
      </c>
      <c r="N119" s="5">
        <f>K119-M119</f>
        <v/>
      </c>
      <c r="O119" s="5">
        <f>L119-M119</f>
        <v/>
      </c>
      <c r="P119" s="5">
        <f>ROUND((E119-G119)*D119,0)</f>
        <v/>
      </c>
      <c r="Q119" s="5">
        <f>D119*10000</f>
        <v/>
      </c>
      <c r="R119" s="5">
        <f>K119-H119</f>
        <v/>
      </c>
      <c r="S119" s="5">
        <f>L119-H119</f>
        <v/>
      </c>
    </row>
    <row r="120">
      <c r="A120" s="3" t="inlineStr">
        <is>
          <t>96535081</t>
        </is>
      </c>
      <c r="B120" s="3" t="inlineStr">
        <is>
          <t>TIJERA LH AVEO/SAIL</t>
        </is>
      </c>
      <c r="C120" s="3" t="inlineStr">
        <is>
          <t>Chevrolet</t>
        </is>
      </c>
      <c r="D120" s="4" t="n">
        <v>1</v>
      </c>
      <c r="E120" s="5" t="n">
        <v>42016</v>
      </c>
      <c r="F120" s="5">
        <f>D120*E120</f>
        <v/>
      </c>
      <c r="G120" s="5" t="n">
        <v>37815</v>
      </c>
      <c r="H120" s="5">
        <f>ROUND(D120*G120*1.19,0)</f>
        <v/>
      </c>
      <c r="I120" s="5" t="n">
        <v>76923</v>
      </c>
      <c r="J120" s="5" t="n">
        <v>92307</v>
      </c>
      <c r="K120" s="5">
        <f>D120*I120</f>
        <v/>
      </c>
      <c r="L120" s="5">
        <f>D120*J120</f>
        <v/>
      </c>
      <c r="M120" s="5">
        <f>H120+Q120</f>
        <v/>
      </c>
      <c r="N120" s="5">
        <f>K120-M120</f>
        <v/>
      </c>
      <c r="O120" s="5">
        <f>L120-M120</f>
        <v/>
      </c>
      <c r="P120" s="5">
        <f>ROUND((E120-G120)*D120,0)</f>
        <v/>
      </c>
      <c r="Q120" s="5">
        <f>D120*10000</f>
        <v/>
      </c>
      <c r="R120" s="5">
        <f>K120-H120</f>
        <v/>
      </c>
      <c r="S120" s="5">
        <f>L120-H120</f>
        <v/>
      </c>
    </row>
    <row r="121">
      <c r="A121" s="3" t="inlineStr">
        <is>
          <t>96535082</t>
        </is>
      </c>
      <c r="B121" s="3" t="inlineStr">
        <is>
          <t>TIJERA RH AVEO/SAIL</t>
        </is>
      </c>
      <c r="C121" s="3" t="inlineStr">
        <is>
          <t>Chevrolet</t>
        </is>
      </c>
      <c r="D121" s="4" t="n">
        <v>1</v>
      </c>
      <c r="E121" s="5" t="n">
        <v>42016</v>
      </c>
      <c r="F121" s="5">
        <f>D121*E121</f>
        <v/>
      </c>
      <c r="G121" s="5" t="n">
        <v>37815</v>
      </c>
      <c r="H121" s="5">
        <f>ROUND(D121*G121*1.19,0)</f>
        <v/>
      </c>
      <c r="I121" s="5" t="n">
        <v>76923</v>
      </c>
      <c r="J121" s="5" t="n">
        <v>92307</v>
      </c>
      <c r="K121" s="5">
        <f>D121*I121</f>
        <v/>
      </c>
      <c r="L121" s="5">
        <f>D121*J121</f>
        <v/>
      </c>
      <c r="M121" s="5">
        <f>H121+Q121</f>
        <v/>
      </c>
      <c r="N121" s="5">
        <f>K121-M121</f>
        <v/>
      </c>
      <c r="O121" s="5">
        <f>L121-M121</f>
        <v/>
      </c>
      <c r="P121" s="5">
        <f>ROUND((E121-G121)*D121,0)</f>
        <v/>
      </c>
      <c r="Q121" s="5">
        <f>D121*10000</f>
        <v/>
      </c>
      <c r="R121" s="5">
        <f>K121-H121</f>
        <v/>
      </c>
      <c r="S121" s="5">
        <f>L121-H121</f>
        <v/>
      </c>
    </row>
    <row r="122">
      <c r="A122" s="3" t="inlineStr">
        <is>
          <t>2595128</t>
        </is>
      </c>
      <c r="B122" s="3" t="inlineStr">
        <is>
          <t>TIJERA DEL RH CAPTIVA</t>
        </is>
      </c>
      <c r="C122" s="3" t="inlineStr">
        <is>
          <t>Chevrolet</t>
        </is>
      </c>
      <c r="D122" s="4" t="n">
        <v>1</v>
      </c>
      <c r="E122" s="5" t="n">
        <v>117647</v>
      </c>
      <c r="F122" s="5">
        <f>D122*E122</f>
        <v/>
      </c>
      <c r="G122" s="5" t="n">
        <v>105882</v>
      </c>
      <c r="H122" s="5">
        <f>ROUND(D122*G122*1.19,0)</f>
        <v/>
      </c>
      <c r="I122" s="5" t="n">
        <v>192307</v>
      </c>
      <c r="J122" s="5" t="n">
        <v>230769</v>
      </c>
      <c r="K122" s="5">
        <f>D122*I122</f>
        <v/>
      </c>
      <c r="L122" s="5">
        <f>D122*J122</f>
        <v/>
      </c>
      <c r="M122" s="5">
        <f>H122+Q122</f>
        <v/>
      </c>
      <c r="N122" s="5">
        <f>K122-M122</f>
        <v/>
      </c>
      <c r="O122" s="5">
        <f>L122-M122</f>
        <v/>
      </c>
      <c r="P122" s="5">
        <f>ROUND((E122-G122)*D122,0)</f>
        <v/>
      </c>
      <c r="Q122" s="5">
        <f>D122*10000</f>
        <v/>
      </c>
      <c r="R122" s="5">
        <f>K122-H122</f>
        <v/>
      </c>
      <c r="S122" s="5">
        <f>L122-H122</f>
        <v/>
      </c>
    </row>
    <row r="123">
      <c r="A123" s="3" t="inlineStr">
        <is>
          <t>96819162</t>
        </is>
      </c>
      <c r="B123" s="3" t="inlineStr">
        <is>
          <t>TIJERA DEL LH CAPTIVA</t>
        </is>
      </c>
      <c r="C123" s="3" t="inlineStr">
        <is>
          <t>Chevrolet</t>
        </is>
      </c>
      <c r="D123" s="4" t="n">
        <v>1</v>
      </c>
      <c r="E123" s="5" t="n">
        <v>117647</v>
      </c>
      <c r="F123" s="5">
        <f>D123*E123</f>
        <v/>
      </c>
      <c r="G123" s="5" t="n">
        <v>105882</v>
      </c>
      <c r="H123" s="5">
        <f>ROUND(D123*G123*1.19,0)</f>
        <v/>
      </c>
      <c r="I123" s="5" t="n">
        <v>192307</v>
      </c>
      <c r="J123" s="5" t="n">
        <v>230769</v>
      </c>
      <c r="K123" s="5">
        <f>D123*I123</f>
        <v/>
      </c>
      <c r="L123" s="5">
        <f>D123*J123</f>
        <v/>
      </c>
      <c r="M123" s="5">
        <f>H123+Q123</f>
        <v/>
      </c>
      <c r="N123" s="5">
        <f>K123-M123</f>
        <v/>
      </c>
      <c r="O123" s="5">
        <f>L123-M123</f>
        <v/>
      </c>
      <c r="P123" s="5">
        <f>ROUND((E123-G123)*D123,0)</f>
        <v/>
      </c>
      <c r="Q123" s="5">
        <f>D123*10000</f>
        <v/>
      </c>
      <c r="R123" s="5">
        <f>K123-H123</f>
        <v/>
      </c>
      <c r="S123" s="5">
        <f>L123-H123</f>
        <v/>
      </c>
    </row>
    <row r="124">
      <c r="A124" s="3" t="inlineStr">
        <is>
          <t>B32H-34-350</t>
        </is>
      </c>
      <c r="B124" s="3" t="inlineStr">
        <is>
          <t>TIJERA DEL LH MAZDA 3</t>
        </is>
      </c>
      <c r="C124" s="3" t="inlineStr">
        <is>
          <t>Mazda</t>
        </is>
      </c>
      <c r="D124" s="4" t="n">
        <v>1</v>
      </c>
      <c r="E124" s="5" t="n">
        <v>100840</v>
      </c>
      <c r="F124" s="5">
        <f>D124*E124</f>
        <v/>
      </c>
      <c r="G124" s="5" t="n">
        <v>90756</v>
      </c>
      <c r="H124" s="5">
        <f>ROUND(D124*G124*1.19,0)</f>
        <v/>
      </c>
      <c r="I124" s="5" t="n">
        <v>166667</v>
      </c>
      <c r="J124" s="5" t="n">
        <v>200000</v>
      </c>
      <c r="K124" s="5">
        <f>D124*I124</f>
        <v/>
      </c>
      <c r="L124" s="5">
        <f>D124*J124</f>
        <v/>
      </c>
      <c r="M124" s="5">
        <f>H124+Q124</f>
        <v/>
      </c>
      <c r="N124" s="5">
        <f>K124-M124</f>
        <v/>
      </c>
      <c r="O124" s="5">
        <f>L124-M124</f>
        <v/>
      </c>
      <c r="P124" s="5">
        <f>ROUND((E124-G124)*D124,0)</f>
        <v/>
      </c>
      <c r="Q124" s="5">
        <f>D124*10000</f>
        <v/>
      </c>
      <c r="R124" s="5">
        <f>K124-H124</f>
        <v/>
      </c>
      <c r="S124" s="5">
        <f>L124-H124</f>
        <v/>
      </c>
    </row>
    <row r="125">
      <c r="A125" s="3" t="inlineStr">
        <is>
          <t>B32H-34-300</t>
        </is>
      </c>
      <c r="B125" s="3" t="inlineStr">
        <is>
          <t>TIJERA DEL RH MAZDA 3</t>
        </is>
      </c>
      <c r="C125" s="3" t="inlineStr">
        <is>
          <t>Mazda</t>
        </is>
      </c>
      <c r="D125" s="4" t="n">
        <v>1</v>
      </c>
      <c r="E125" s="5" t="n">
        <v>100840</v>
      </c>
      <c r="F125" s="5">
        <f>D125*E125</f>
        <v/>
      </c>
      <c r="G125" s="5" t="n">
        <v>90756</v>
      </c>
      <c r="H125" s="5">
        <f>ROUND(D125*G125*1.19,0)</f>
        <v/>
      </c>
      <c r="I125" s="5" t="n">
        <v>166667</v>
      </c>
      <c r="J125" s="5" t="n">
        <v>200000</v>
      </c>
      <c r="K125" s="5">
        <f>D125*I125</f>
        <v/>
      </c>
      <c r="L125" s="5">
        <f>D125*J125</f>
        <v/>
      </c>
      <c r="M125" s="5">
        <f>H125+Q125</f>
        <v/>
      </c>
      <c r="N125" s="5">
        <f>K125-M125</f>
        <v/>
      </c>
      <c r="O125" s="5">
        <f>L125-M125</f>
        <v/>
      </c>
      <c r="P125" s="5">
        <f>ROUND((E125-G125)*D125,0)</f>
        <v/>
      </c>
      <c r="Q125" s="5">
        <f>D125*10000</f>
        <v/>
      </c>
      <c r="R125" s="5">
        <f>K125-H125</f>
        <v/>
      </c>
      <c r="S125" s="5">
        <f>L125-H125</f>
        <v/>
      </c>
    </row>
  </sheetData>
  <autoFilter ref="A1:S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Concepto</t>
        </is>
      </c>
      <c r="B1" s="6" t="inlineStr">
        <is>
          <t>Valor</t>
        </is>
      </c>
    </row>
    <row r="2">
      <c r="A2" t="inlineStr">
        <is>
          <t>Total referencias</t>
        </is>
      </c>
      <c r="B2">
        <f>COUNTA('Lista de Precios y Stock'!A2:A125)</f>
        <v/>
      </c>
    </row>
    <row r="3">
      <c r="A3" t="inlineStr">
        <is>
          <t>Total piezas en stock</t>
        </is>
      </c>
      <c r="B3" s="7">
        <f>SUM('Lista de Precios y Stock'!D2:D125)</f>
        <v/>
      </c>
    </row>
    <row r="4">
      <c r="A4" t="inlineStr">
        <is>
          <t>Valor catálogo total</t>
        </is>
      </c>
      <c r="B4" s="8">
        <f>SUM('Lista de Precios y Stock'!F2:F125)</f>
        <v/>
      </c>
    </row>
    <row r="5">
      <c r="A5" t="inlineStr">
        <is>
          <t>Total pagado en facturas (IVA)</t>
        </is>
      </c>
      <c r="B5" s="8">
        <f>SUM('Lista de Precios y Stock'!H2:H125)</f>
        <v/>
      </c>
    </row>
    <row r="6">
      <c r="A6" t="inlineStr">
        <is>
          <t>Proyección venta total Taller</t>
        </is>
      </c>
      <c r="B6" s="8">
        <f>SUM('Lista de Precios y Stock'!K2:K125)</f>
        <v/>
      </c>
    </row>
    <row r="7">
      <c r="A7" t="inlineStr">
        <is>
          <t>Proyección venta total Público</t>
        </is>
      </c>
      <c r="B7" s="8">
        <f>SUM('Lista de Precios y Stock'!L2:L125)</f>
        <v/>
      </c>
    </row>
    <row r="8">
      <c r="A8" t="inlineStr">
        <is>
          <t>Costo real total del stock</t>
        </is>
      </c>
      <c r="B8" s="8">
        <f>SUM('Lista de Precios y Stock'!M2:M125)</f>
        <v/>
      </c>
    </row>
    <row r="9">
      <c r="A9" t="inlineStr">
        <is>
          <t>Ganancia si vende todo a Taller</t>
        </is>
      </c>
      <c r="B9" s="8">
        <f>SUM('Lista de Precios y Stock'!N2:N125)</f>
        <v/>
      </c>
    </row>
    <row r="10">
      <c r="A10" t="inlineStr">
        <is>
          <t>Ganancia si vende todo a Público</t>
        </is>
      </c>
      <c r="B10" s="8">
        <f>SUM('Lista de Precios y Stock'!O2:O125)</f>
        <v/>
      </c>
    </row>
    <row r="11">
      <c r="A11" t="inlineStr">
        <is>
          <t>Total ahorro mayorista (reinversión)</t>
        </is>
      </c>
      <c r="B11" s="8">
        <f>SUM('Lista de Precios y Stock'!P2:P125)</f>
        <v/>
      </c>
    </row>
    <row r="12">
      <c r="A12" t="inlineStr">
        <is>
          <t>Total fondo logística domicilios</t>
        </is>
      </c>
      <c r="B12" s="8">
        <f>SUM('Lista de Precios y Stock'!Q2:Q125)</f>
        <v/>
      </c>
    </row>
    <row r="13">
      <c r="A13" t="inlineStr">
        <is>
          <t>Ganancia neta Taller (sin domicilio)</t>
        </is>
      </c>
      <c r="B13" s="8">
        <f>SUM('Lista de Precios y Stock'!R2:R125)</f>
        <v/>
      </c>
    </row>
    <row r="14">
      <c r="A14" t="inlineStr">
        <is>
          <t>Ganancia neta Público (sin domicilio)</t>
        </is>
      </c>
      <c r="B14" s="8">
        <f>SUM('Lista de Precios y Stock'!S2:S125)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Regla</t>
        </is>
      </c>
      <c r="B1" s="6" t="inlineStr">
        <is>
          <t>Descripción</t>
        </is>
      </c>
    </row>
    <row r="2">
      <c r="A2" t="inlineStr">
        <is>
          <t>STOCK (piezas)</t>
        </is>
      </c>
      <c r="B2" t="inlineStr">
        <is>
          <t>Columna amarilla. Cámbiala al hacer inventario (3, 5, 0…). Todo se recalcula solo.</t>
        </is>
      </c>
    </row>
    <row r="3">
      <c r="A3" t="inlineStr">
        <is>
          <t>Catálogo / pieza</t>
        </is>
      </c>
      <c r="B3" t="inlineStr">
        <is>
          <t>Precio de lista del proveedor. Base para cobrar (NO incluye descuento mayorista).</t>
        </is>
      </c>
    </row>
    <row r="4">
      <c r="A4" t="inlineStr">
        <is>
          <t>Total catálogo</t>
        </is>
      </c>
      <c r="B4" t="inlineStr">
        <is>
          <t>Fórmula: STOCK × Catálogo / pieza</t>
        </is>
      </c>
    </row>
    <row r="5">
      <c r="A5" t="inlineStr">
        <is>
          <t>Facturado / pieza</t>
        </is>
      </c>
      <c r="B5" t="inlineStr">
        <is>
          <t>Lo que pagaste realmente (mayorista). Solo para tu control interno.</t>
        </is>
      </c>
    </row>
    <row r="6">
      <c r="A6" t="inlineStr">
        <is>
          <t>Precios Taller / Público</t>
        </is>
      </c>
      <c r="B6" t="inlineStr">
        <is>
          <t>Calculados con catálogo + IVA + $10.000 oculto. Margen 22% y 35%.</t>
        </is>
      </c>
    </row>
    <row r="7">
      <c r="A7" t="inlineStr">
        <is>
          <t>Costo real total (col M)</t>
        </is>
      </c>
      <c r="B7" t="inlineStr">
        <is>
          <t>Fórmula: H + Q. Lo pagado al proveedor con IVA + provisión domicilio ($10k × stock).</t>
        </is>
      </c>
    </row>
    <row r="8">
      <c r="A8" t="inlineStr">
        <is>
          <t>Ganancia Taller/Público (col N/O)</t>
        </is>
      </c>
      <c r="B8" t="inlineStr">
        <is>
          <t>Venta total − Costo real (M). Ya separa los $10k/pza para logística.</t>
        </is>
      </c>
    </row>
    <row r="9">
      <c r="A9" t="inlineStr">
        <is>
          <t>Columnas P–S (gris)</t>
        </is>
      </c>
      <c r="B9" t="inlineStr">
        <is>
          <t>Ocultar con clic derecho &gt; Ocultar. Análisis interno y reinversión.</t>
        </is>
      </c>
    </row>
    <row r="10">
      <c r="A10" t="inlineStr">
        <is>
          <t>Ahorro mayorista (col P)</t>
        </is>
      </c>
      <c r="B10" t="inlineStr">
        <is>
          <t>Fórmula: (Catálogo − Facturado) × STOCK, sin IVA.</t>
        </is>
      </c>
    </row>
    <row r="11">
      <c r="A11" t="inlineStr">
        <is>
          <t>Fondo logística (col Q)</t>
        </is>
      </c>
      <c r="B11" t="inlineStr">
        <is>
          <t>Fórmula: STOCK × $10.000. Provisión domicilios; va aparte de la ganancia del repuesto.</t>
        </is>
      </c>
    </row>
    <row r="12">
      <c r="A12" t="inlineStr">
        <is>
          <t>Ganancia neta sin domicilio (col R/S)</t>
        </is>
      </c>
      <c r="B12" t="inlineStr">
        <is>
          <t>Fórmula: Venta total − Total pagado factura (H). Utilidad limpia del repuesto, sin descontar provisión logística.</t>
        </is>
      </c>
    </row>
    <row r="13">
      <c r="A13" t="inlineStr">
        <is>
          <t>Mercancía nueva</t>
        </is>
      </c>
      <c r="B13" t="inlineStr">
        <is>
          <t>Agrega una fila copiando fórmulas de otra referencia y cambia datos unitarios.</t>
        </is>
      </c>
    </row>
    <row r="14">
      <c r="A14" t="inlineStr">
        <is>
          <t>PWA</t>
        </is>
      </c>
      <c r="B14" t="inlineStr">
        <is>
          <t>Subir carga-pwa-catalogo.json. Descuento taller recomendado: 16.67%.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2026-06-09T00:00:09Z</dcterms:created>
  <dcterms:modified xmlns:dcterms="http://purl.org/dc/terms/" xmlns:xsi="http://www.w3.org/2001/XMLSchema-instance" xsi:type="dcterms:W3CDTF">2026-06-09T00:00:09Z</dcterms:modified>
</cp:coreProperties>
</file>