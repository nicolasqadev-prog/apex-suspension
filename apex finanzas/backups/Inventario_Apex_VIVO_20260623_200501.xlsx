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ntario" sheetId="1" state="visible" r:id="rId1"/>
    <sheet xmlns:r="http://schemas.openxmlformats.org/officeDocument/2006/relationships" name="Movimientos" sheetId="2" state="visible" r:id="rId2"/>
    <sheet xmlns:r="http://schemas.openxmlformats.org/officeDocument/2006/relationships" name="Guía producto nuevo" sheetId="3" state="visible" r:id="rId3"/>
    <sheet xmlns:r="http://schemas.openxmlformats.org/officeDocument/2006/relationships" name="Alertas" sheetId="4" state="visible" r:id="rId4"/>
    <sheet xmlns:r="http://schemas.openxmlformats.org/officeDocument/2006/relationships" name="Resumen" sheetId="5" state="visible" r:id="rId5"/>
  </sheets>
  <definedNames>
    <definedName name="_xlnm._FilterDatabase" localSheetId="0" hidden="1">'Inventario'!$A$1:$V$155</definedName>
  </definedNames>
  <calcPr calcId="124519" calcMode="auto" fullCalcOnLoad="1"/>
</workbook>
</file>

<file path=xl/styles.xml><?xml version="1.0" encoding="utf-8"?>
<styleSheet xmlns="http://schemas.openxmlformats.org/spreadsheetml/2006/main">
  <numFmts count="1">
    <numFmt numFmtId="164" formatCode="&quot;$&quot;#,##0"/>
  </numFmts>
  <fonts count="7">
    <font>
      <name val="Calibri"/>
      <family val="2"/>
      <color theme="1"/>
      <sz val="11"/>
      <scheme val="minor"/>
    </font>
    <font>
      <b val="1"/>
      <color rgb="00FFFFFF"/>
      <sz val="10"/>
    </font>
    <font>
      <i val="1"/>
      <color rgb="00888888"/>
    </font>
    <font>
      <b val="1"/>
      <color rgb="00FFFFFF"/>
    </font>
    <font>
      <b val="1"/>
    </font>
    <font>
      <b val="1"/>
      <color rgb="001F4E79"/>
    </font>
    <font>
      <i val="1"/>
      <color rgb="00666666"/>
    </font>
  </fonts>
  <fills count="9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5B5B5B"/>
      </patternFill>
    </fill>
    <fill>
      <patternFill patternType="solid">
        <fgColor rgb="00FFF2CC"/>
      </patternFill>
    </fill>
    <fill>
      <patternFill patternType="solid">
        <fgColor rgb="00C00000"/>
      </patternFill>
    </fill>
    <fill>
      <patternFill patternType="solid">
        <fgColor rgb="00FFEB9C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0" fillId="0" borderId="1" applyProtection="1" pivotButton="0" quotePrefix="0" xfId="0">
      <protection locked="0" hidden="0"/>
    </xf>
    <xf numFmtId="1" fontId="0" fillId="4" borderId="1" applyProtection="1" pivotButton="0" quotePrefix="0" xfId="0">
      <protection locked="0" hidden="0"/>
    </xf>
    <xf numFmtId="164" fontId="0" fillId="0" borderId="1" applyProtection="1" pivotButton="0" quotePrefix="0" xfId="0">
      <protection locked="0" hidden="0"/>
    </xf>
    <xf numFmtId="164" fontId="0" fillId="0" borderId="1" pivotButton="0" quotePrefix="0" xfId="0"/>
    <xf numFmtId="0" fontId="2" fillId="0" borderId="1" applyProtection="1" pivotButton="0" quotePrefix="0" xfId="0">
      <protection locked="0" hidden="0"/>
    </xf>
    <xf numFmtId="0" fontId="3" fillId="2" borderId="0" pivotButton="0" quotePrefix="0" xfId="0"/>
    <xf numFmtId="0" fontId="3" fillId="5" borderId="0" pivotButton="0" quotePrefix="0" xfId="0"/>
    <xf numFmtId="0" fontId="0" fillId="6" borderId="0" pivotButton="0" quotePrefix="0" xfId="0"/>
    <xf numFmtId="0" fontId="4" fillId="0" borderId="0" pivotButton="0" quotePrefix="0" xfId="0"/>
    <xf numFmtId="1" fontId="0" fillId="0" borderId="0" pivotButton="0" quotePrefix="0" xfId="0"/>
    <xf numFmtId="0" fontId="5" fillId="0" borderId="0" pivotButton="0" quotePrefix="0" xfId="0"/>
    <xf numFmtId="164" fontId="0" fillId="0" borderId="0" pivotButton="0" quotePrefix="0" xfId="0"/>
    <xf numFmtId="0" fontId="4" fillId="7" borderId="0" pivotButton="0" quotePrefix="0" xfId="0"/>
    <xf numFmtId="164" fontId="4" fillId="7" borderId="0" pivotButton="0" quotePrefix="0" xfId="0"/>
    <xf numFmtId="0" fontId="6" fillId="0" borderId="0" pivotButton="0" quotePrefix="0" xfId="0"/>
    <xf numFmtId="0" fontId="0" fillId="8" borderId="0" pivotButton="0" quotePrefix="0" xfId="0"/>
    <xf numFmtId="1" fontId="0" fillId="4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FC7CE"/>
        </patternFill>
      </fill>
    </dxf>
    <dxf>
      <fill>
        <patternFill patternType="solid">
          <fgColor rgb="00FFEB9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8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outlineLevel="1" width="16" customWidth="1" min="16" max="16"/>
    <col outlineLevel="1" width="16" customWidth="1" min="17" max="17"/>
    <col outlineLevel="1" width="16" customWidth="1" min="18" max="18"/>
    <col outlineLevel="1" width="16" customWidth="1" min="19" max="19"/>
    <col width="16" customWidth="1" min="20" max="20"/>
    <col width="16" customWidth="1" min="21" max="21"/>
    <col width="16" customWidth="1" min="22" max="22"/>
  </cols>
  <sheetData>
    <row r="1">
      <c r="A1" s="1" t="inlineStr">
        <is>
          <t>REFERENCIA</t>
        </is>
      </c>
      <c r="B1" s="1" t="inlineStr">
        <is>
          <t>DESCRIPCIÓN</t>
        </is>
      </c>
      <c r="C1" s="1" t="inlineStr">
        <is>
          <t>MARCA</t>
        </is>
      </c>
      <c r="D1" s="1" t="inlineStr">
        <is>
          <t>STOCK (piezas)</t>
        </is>
      </c>
      <c r="E1" s="1" t="inlineStr">
        <is>
          <t>Catálogo / pieza</t>
        </is>
      </c>
      <c r="F1" s="1" t="inlineStr">
        <is>
          <t>Total catálogo</t>
        </is>
      </c>
      <c r="G1" s="1" t="inlineStr">
        <is>
          <t>Facturado / pieza</t>
        </is>
      </c>
      <c r="H1" s="1" t="inlineStr">
        <is>
          <t>Costo IVA / pieza</t>
        </is>
      </c>
      <c r="I1" s="1" t="inlineStr">
        <is>
          <t>Fondo moto / pieza</t>
        </is>
      </c>
      <c r="J1" s="1" t="inlineStr">
        <is>
          <t>Costo real / pieza</t>
        </is>
      </c>
      <c r="K1" s="1" t="inlineStr">
        <is>
          <t>Precio mercado taller (opc.)</t>
        </is>
      </c>
      <c r="L1" s="1" t="inlineStr">
        <is>
          <t>Precio Taller / pieza</t>
        </is>
      </c>
      <c r="M1" s="1" t="inlineStr">
        <is>
          <t>Precio Público / pieza</t>
        </is>
      </c>
      <c r="N1" s="1" t="inlineStr">
        <is>
          <t>Ganancia Taller / pieza</t>
        </is>
      </c>
      <c r="O1" s="1" t="inlineStr">
        <is>
          <t>Ganancia Público / pieza</t>
        </is>
      </c>
      <c r="P1" s="1" t="inlineStr">
        <is>
          <t>Venta total Taller</t>
        </is>
      </c>
      <c r="Q1" s="1" t="inlineStr">
        <is>
          <t>Venta total Público</t>
        </is>
      </c>
      <c r="R1" s="1" t="inlineStr">
        <is>
          <t>Fondo Logística Acumulado</t>
        </is>
      </c>
      <c r="S1" s="1" t="inlineStr">
        <is>
          <t>Costo real total (stock)</t>
        </is>
      </c>
      <c r="T1" s="1" t="inlineStr">
        <is>
          <t>Ganancia total Taller</t>
        </is>
      </c>
      <c r="U1" s="1" t="inlineStr">
        <is>
          <t>Ganancia total Público</t>
        </is>
      </c>
      <c r="V1" s="1" t="inlineStr">
        <is>
          <t>Ahorro mayorista total (reinversión)</t>
        </is>
      </c>
    </row>
    <row r="2">
      <c r="A2" t="inlineStr">
        <is>
          <t>KTR-4016</t>
        </is>
      </c>
      <c r="B2" t="inlineStr">
        <is>
          <t>Terminal Dirección Optra DER</t>
        </is>
      </c>
      <c r="C2" t="inlineStr">
        <is>
          <t>Chevrolet</t>
        </is>
      </c>
      <c r="D2" s="19" t="n">
        <v>2</v>
      </c>
      <c r="E2" s="14" t="n">
        <v>27500</v>
      </c>
      <c r="F2" s="14">
        <f>D2*E2</f>
        <v/>
      </c>
      <c r="G2" s="14" t="n">
        <v>20625</v>
      </c>
      <c r="H2" s="14" t="n">
        <v>32725</v>
      </c>
      <c r="I2" s="14" t="n">
        <v>2618</v>
      </c>
      <c r="J2" s="14" t="n">
        <v>32725</v>
      </c>
      <c r="K2" s="14" t="n"/>
      <c r="L2" s="14" t="n">
        <v>45300</v>
      </c>
      <c r="M2" s="14" t="n">
        <v>66300</v>
      </c>
      <c r="N2" s="14" t="n">
        <v>12575</v>
      </c>
      <c r="O2" s="14" t="n">
        <v>33575</v>
      </c>
      <c r="P2" s="14" t="n">
        <v>90600</v>
      </c>
      <c r="Q2" s="14" t="n">
        <v>132600</v>
      </c>
      <c r="R2" s="14" t="n">
        <v>5236</v>
      </c>
      <c r="S2" s="14" t="n">
        <v>65450</v>
      </c>
      <c r="T2" s="14" t="n">
        <v>25150</v>
      </c>
      <c r="U2" s="14" t="n">
        <v>67150</v>
      </c>
      <c r="V2" s="14">
        <f>ROUND((E2-G2)*D2,0)</f>
        <v/>
      </c>
    </row>
    <row r="3">
      <c r="A3" t="inlineStr">
        <is>
          <t>KSL-1005</t>
        </is>
      </c>
      <c r="B3" t="inlineStr">
        <is>
          <t>Bieleta Estab. Luv Dmax 4x4 RT50 Del IZQ</t>
        </is>
      </c>
      <c r="C3" t="inlineStr">
        <is>
          <t>Chevrolet</t>
        </is>
      </c>
      <c r="D3" s="19" t="n">
        <v>2</v>
      </c>
      <c r="E3" s="14" t="n">
        <v>23630</v>
      </c>
      <c r="F3" s="14">
        <f>D3*E3</f>
        <v/>
      </c>
      <c r="G3" s="14" t="n">
        <v>17723</v>
      </c>
      <c r="H3" s="14" t="n">
        <v>28120</v>
      </c>
      <c r="I3" s="14" t="n">
        <v>2250</v>
      </c>
      <c r="J3" s="14" t="n">
        <v>28120</v>
      </c>
      <c r="K3" s="14" t="n"/>
      <c r="L3" s="14" t="n">
        <v>38900</v>
      </c>
      <c r="M3" s="14" t="n">
        <v>56900</v>
      </c>
      <c r="N3" s="14" t="n">
        <v>10780</v>
      </c>
      <c r="O3" s="14" t="n">
        <v>28780</v>
      </c>
      <c r="P3" s="14" t="n">
        <v>77800</v>
      </c>
      <c r="Q3" s="14" t="n">
        <v>113800</v>
      </c>
      <c r="R3" s="14" t="n">
        <v>4500</v>
      </c>
      <c r="S3" s="14" t="n">
        <v>56240</v>
      </c>
      <c r="T3" s="14" t="n">
        <v>21560</v>
      </c>
      <c r="U3" s="14" t="n">
        <v>57560</v>
      </c>
      <c r="V3" s="14">
        <f>ROUND((E3-G3)*D3,0)</f>
        <v/>
      </c>
    </row>
    <row r="4">
      <c r="A4" t="inlineStr">
        <is>
          <t>KBJ-4013</t>
        </is>
      </c>
      <c r="B4" t="inlineStr">
        <is>
          <t>Rótula Luv 2300 SUP</t>
        </is>
      </c>
      <c r="C4" t="inlineStr">
        <is>
          <t>Chevrolet</t>
        </is>
      </c>
      <c r="D4" s="19" t="n">
        <v>2</v>
      </c>
      <c r="E4" s="14" t="n">
        <v>31280</v>
      </c>
      <c r="F4" s="14">
        <f>D4*E4</f>
        <v/>
      </c>
      <c r="G4" s="14" t="n">
        <v>23460</v>
      </c>
      <c r="H4" s="14" t="n">
        <v>37223</v>
      </c>
      <c r="I4" s="14" t="n">
        <v>2978</v>
      </c>
      <c r="J4" s="14" t="n">
        <v>37223</v>
      </c>
      <c r="K4" s="14" t="n"/>
      <c r="L4" s="14" t="n">
        <v>54900</v>
      </c>
      <c r="M4" s="14" t="n">
        <v>80400</v>
      </c>
      <c r="N4" s="14" t="n">
        <v>17677</v>
      </c>
      <c r="O4" s="14" t="n">
        <v>43177</v>
      </c>
      <c r="P4" s="14" t="n">
        <v>109800</v>
      </c>
      <c r="Q4" s="14" t="n">
        <v>160800</v>
      </c>
      <c r="R4" s="14" t="n">
        <v>5956</v>
      </c>
      <c r="S4" s="14" t="n">
        <v>74446</v>
      </c>
      <c r="T4" s="14" t="n">
        <v>35354</v>
      </c>
      <c r="U4" s="14" t="n">
        <v>86354</v>
      </c>
      <c r="V4" s="14">
        <f>ROUND((E4-G4)*D4,0)</f>
        <v/>
      </c>
    </row>
    <row r="5">
      <c r="A5" t="inlineStr">
        <is>
          <t>KTR-4035</t>
        </is>
      </c>
      <c r="B5" t="inlineStr">
        <is>
          <t>Terminal Dirección Sail IZQ</t>
        </is>
      </c>
      <c r="C5" t="inlineStr">
        <is>
          <t>Chevrolet</t>
        </is>
      </c>
      <c r="D5" s="19" t="n">
        <v>2</v>
      </c>
      <c r="E5" s="14" t="n">
        <v>26580</v>
      </c>
      <c r="F5" s="14">
        <f>D5*E5</f>
        <v/>
      </c>
      <c r="G5" s="14" t="n">
        <v>19935</v>
      </c>
      <c r="H5" s="14" t="n">
        <v>31630</v>
      </c>
      <c r="I5" s="14" t="n">
        <v>2530</v>
      </c>
      <c r="J5" s="14" t="n">
        <v>31630</v>
      </c>
      <c r="K5" s="14" t="n"/>
      <c r="L5" s="14" t="n">
        <v>43800</v>
      </c>
      <c r="M5" s="14" t="n">
        <v>64000</v>
      </c>
      <c r="N5" s="14" t="n">
        <v>12170</v>
      </c>
      <c r="O5" s="14" t="n">
        <v>32370</v>
      </c>
      <c r="P5" s="14" t="n">
        <v>87600</v>
      </c>
      <c r="Q5" s="14" t="n">
        <v>128000</v>
      </c>
      <c r="R5" s="14" t="n">
        <v>5060</v>
      </c>
      <c r="S5" s="14" t="n">
        <v>63260</v>
      </c>
      <c r="T5" s="14" t="n">
        <v>24340</v>
      </c>
      <c r="U5" s="14" t="n">
        <v>64740</v>
      </c>
      <c r="V5" s="14">
        <f>ROUND((E5-G5)*D5,0)</f>
        <v/>
      </c>
    </row>
    <row r="6">
      <c r="A6" t="inlineStr">
        <is>
          <t>KBJ-4001</t>
        </is>
      </c>
      <c r="B6" t="inlineStr">
        <is>
          <t>Rótula Aveo-Sail</t>
        </is>
      </c>
      <c r="C6" t="inlineStr">
        <is>
          <t>Chevrolet</t>
        </is>
      </c>
      <c r="D6" s="19" t="n">
        <v>2</v>
      </c>
      <c r="E6" s="14" t="n">
        <v>23410</v>
      </c>
      <c r="F6" s="14">
        <f>D6*E6</f>
        <v/>
      </c>
      <c r="G6" s="14" t="n">
        <v>17558</v>
      </c>
      <c r="H6" s="14" t="n">
        <v>27858</v>
      </c>
      <c r="I6" s="14" t="n">
        <v>2229</v>
      </c>
      <c r="J6" s="14" t="n">
        <v>27858</v>
      </c>
      <c r="K6" s="14" t="n"/>
      <c r="L6" s="14" t="n">
        <v>38500</v>
      </c>
      <c r="M6" s="14" t="n">
        <v>56400</v>
      </c>
      <c r="N6" s="14" t="n">
        <v>10642</v>
      </c>
      <c r="O6" s="14" t="n">
        <v>28542</v>
      </c>
      <c r="P6" s="14" t="n">
        <v>77000</v>
      </c>
      <c r="Q6" s="14" t="n">
        <v>112800</v>
      </c>
      <c r="R6" s="14" t="n">
        <v>4458</v>
      </c>
      <c r="S6" s="14" t="n">
        <v>55716</v>
      </c>
      <c r="T6" s="14" t="n">
        <v>21284</v>
      </c>
      <c r="U6" s="14" t="n">
        <v>57084</v>
      </c>
      <c r="V6" s="14">
        <f>ROUND((E6-G6)*D6,0)</f>
        <v/>
      </c>
    </row>
    <row r="7">
      <c r="A7" t="inlineStr">
        <is>
          <t>KTR-4034</t>
        </is>
      </c>
      <c r="B7" t="inlineStr">
        <is>
          <t>Terminal Dirección Sail DER</t>
        </is>
      </c>
      <c r="C7" t="inlineStr">
        <is>
          <t>Chevrolet</t>
        </is>
      </c>
      <c r="D7" s="19" t="n">
        <v>2</v>
      </c>
      <c r="E7" s="14" t="n">
        <v>26580</v>
      </c>
      <c r="F7" s="14">
        <f>D7*E7</f>
        <v/>
      </c>
      <c r="G7" s="14" t="n">
        <v>19935</v>
      </c>
      <c r="H7" s="14" t="n">
        <v>31630</v>
      </c>
      <c r="I7" s="14" t="n">
        <v>2530</v>
      </c>
      <c r="J7" s="14" t="n">
        <v>31630</v>
      </c>
      <c r="K7" s="14" t="n"/>
      <c r="L7" s="14" t="n">
        <v>43800</v>
      </c>
      <c r="M7" s="14" t="n">
        <v>64000</v>
      </c>
      <c r="N7" s="14" t="n">
        <v>12170</v>
      </c>
      <c r="O7" s="14" t="n">
        <v>32370</v>
      </c>
      <c r="P7" s="14" t="n">
        <v>87600</v>
      </c>
      <c r="Q7" s="14" t="n">
        <v>128000</v>
      </c>
      <c r="R7" s="14" t="n">
        <v>5060</v>
      </c>
      <c r="S7" s="14" t="n">
        <v>63260</v>
      </c>
      <c r="T7" s="14" t="n">
        <v>24340</v>
      </c>
      <c r="U7" s="14" t="n">
        <v>64740</v>
      </c>
      <c r="V7" s="14">
        <f>ROUND((E7-G7)*D7,0)</f>
        <v/>
      </c>
    </row>
    <row r="8">
      <c r="A8" t="inlineStr">
        <is>
          <t>KBJ-4008</t>
        </is>
      </c>
      <c r="B8" t="inlineStr">
        <is>
          <t>Rótula Luv 2300 4x4 D-Max 4x2-4x4 Trooper INF (x2)</t>
        </is>
      </c>
      <c r="C8" t="inlineStr">
        <is>
          <t>Chevrolet</t>
        </is>
      </c>
      <c r="D8" s="19" t="n">
        <v>2</v>
      </c>
      <c r="E8" s="14" t="n">
        <v>47740</v>
      </c>
      <c r="F8" s="14">
        <f>D8*E8</f>
        <v/>
      </c>
      <c r="G8" s="14" t="n">
        <v>35805</v>
      </c>
      <c r="H8" s="14" t="n">
        <v>56811</v>
      </c>
      <c r="I8" s="14" t="n">
        <v>4545</v>
      </c>
      <c r="J8" s="14" t="n">
        <v>56811</v>
      </c>
      <c r="K8" s="14" t="n"/>
      <c r="L8" s="14" t="n">
        <v>83900</v>
      </c>
      <c r="M8" s="14" t="n">
        <v>122700</v>
      </c>
      <c r="N8" s="14" t="n">
        <v>27089</v>
      </c>
      <c r="O8" s="14" t="n">
        <v>65889</v>
      </c>
      <c r="P8" s="14" t="n">
        <v>167800</v>
      </c>
      <c r="Q8" s="14" t="n">
        <v>245400</v>
      </c>
      <c r="R8" s="14" t="n">
        <v>9090</v>
      </c>
      <c r="S8" s="14" t="n">
        <v>113622</v>
      </c>
      <c r="T8" s="14" t="n">
        <v>54178</v>
      </c>
      <c r="U8" s="14" t="n">
        <v>131778</v>
      </c>
      <c r="V8" s="14">
        <f>ROUND((E8-G8)*D8,0)</f>
        <v/>
      </c>
    </row>
    <row r="9">
      <c r="A9" t="inlineStr">
        <is>
          <t>KTR-4019</t>
        </is>
      </c>
      <c r="B9" t="inlineStr">
        <is>
          <t>Terminal Dir Spark GT 1.2</t>
        </is>
      </c>
      <c r="C9" t="inlineStr">
        <is>
          <t>Chevrolet</t>
        </is>
      </c>
      <c r="D9" s="19" t="n">
        <v>2</v>
      </c>
      <c r="E9" s="14" t="n">
        <v>27680</v>
      </c>
      <c r="F9" s="14">
        <f>D9*E9</f>
        <v/>
      </c>
      <c r="G9" s="14" t="n">
        <v>20760</v>
      </c>
      <c r="H9" s="14" t="n">
        <v>32939</v>
      </c>
      <c r="I9" s="14" t="n">
        <v>2635</v>
      </c>
      <c r="J9" s="14" t="n">
        <v>32939</v>
      </c>
      <c r="K9" s="14" t="n"/>
      <c r="L9" s="14" t="n">
        <v>45600</v>
      </c>
      <c r="M9" s="14" t="n">
        <v>66700</v>
      </c>
      <c r="N9" s="14" t="n">
        <v>12661</v>
      </c>
      <c r="O9" s="14" t="n">
        <v>33761</v>
      </c>
      <c r="P9" s="14" t="n">
        <v>91200</v>
      </c>
      <c r="Q9" s="14" t="n">
        <v>133400</v>
      </c>
      <c r="R9" s="14" t="n">
        <v>5270</v>
      </c>
      <c r="S9" s="14" t="n">
        <v>65878</v>
      </c>
      <c r="T9" s="14" t="n">
        <v>25322</v>
      </c>
      <c r="U9" s="14" t="n">
        <v>67522</v>
      </c>
      <c r="V9" s="14">
        <f>ROUND((E9-G9)*D9,0)</f>
        <v/>
      </c>
    </row>
    <row r="10">
      <c r="A10" t="inlineStr">
        <is>
          <t>KTR-4015</t>
        </is>
      </c>
      <c r="B10" t="inlineStr">
        <is>
          <t>Terminal Dir Optra IZQ</t>
        </is>
      </c>
      <c r="C10" t="inlineStr">
        <is>
          <t>Chevrolet</t>
        </is>
      </c>
      <c r="D10" s="19" t="n">
        <v>2</v>
      </c>
      <c r="E10" s="14" t="n">
        <v>27500</v>
      </c>
      <c r="F10" s="14">
        <f>D10*E10</f>
        <v/>
      </c>
      <c r="G10" s="14" t="n">
        <v>20625</v>
      </c>
      <c r="H10" s="14" t="n">
        <v>32725</v>
      </c>
      <c r="I10" s="14" t="n">
        <v>2618</v>
      </c>
      <c r="J10" s="14" t="n">
        <v>32725</v>
      </c>
      <c r="K10" s="14" t="n"/>
      <c r="L10" s="14" t="n">
        <v>45300</v>
      </c>
      <c r="M10" s="14" t="n">
        <v>66300</v>
      </c>
      <c r="N10" s="14" t="n">
        <v>12575</v>
      </c>
      <c r="O10" s="14" t="n">
        <v>33575</v>
      </c>
      <c r="P10" s="14" t="n">
        <v>90600</v>
      </c>
      <c r="Q10" s="14" t="n">
        <v>132600</v>
      </c>
      <c r="R10" s="14" t="n">
        <v>5236</v>
      </c>
      <c r="S10" s="14" t="n">
        <v>65450</v>
      </c>
      <c r="T10" s="14" t="n">
        <v>25150</v>
      </c>
      <c r="U10" s="14" t="n">
        <v>67150</v>
      </c>
      <c r="V10" s="14">
        <f>ROUND((E10-G10)*D10,0)</f>
        <v/>
      </c>
    </row>
    <row r="11">
      <c r="A11" t="inlineStr">
        <is>
          <t>KTR-4002</t>
        </is>
      </c>
      <c r="B11" t="inlineStr">
        <is>
          <t>Terminal Dir Aveo DER</t>
        </is>
      </c>
      <c r="C11" t="inlineStr">
        <is>
          <t>Chevrolet</t>
        </is>
      </c>
      <c r="D11" s="19" t="n">
        <v>2</v>
      </c>
      <c r="E11" s="14" t="n">
        <v>24820</v>
      </c>
      <c r="F11" s="14">
        <f>D11*E11</f>
        <v/>
      </c>
      <c r="G11" s="14" t="n">
        <v>18615</v>
      </c>
      <c r="H11" s="14" t="n">
        <v>29536</v>
      </c>
      <c r="I11" s="14" t="n">
        <v>2363</v>
      </c>
      <c r="J11" s="14" t="n">
        <v>29536</v>
      </c>
      <c r="K11" s="14" t="n"/>
      <c r="L11" s="14" t="n">
        <v>40900</v>
      </c>
      <c r="M11" s="14" t="n">
        <v>59800</v>
      </c>
      <c r="N11" s="14" t="n">
        <v>11364</v>
      </c>
      <c r="O11" s="14" t="n">
        <v>30264</v>
      </c>
      <c r="P11" s="14" t="n">
        <v>81800</v>
      </c>
      <c r="Q11" s="14" t="n">
        <v>119600</v>
      </c>
      <c r="R11" s="14" t="n">
        <v>4726</v>
      </c>
      <c r="S11" s="14" t="n">
        <v>59072</v>
      </c>
      <c r="T11" s="14" t="n">
        <v>22728</v>
      </c>
      <c r="U11" s="14" t="n">
        <v>60528</v>
      </c>
      <c r="V11" s="14">
        <f>ROUND((E11-G11)*D11,0)</f>
        <v/>
      </c>
    </row>
    <row r="12">
      <c r="A12" t="inlineStr">
        <is>
          <t>KTR-4003</t>
        </is>
      </c>
      <c r="B12" t="inlineStr">
        <is>
          <t>Terminal Dir Aveo IZQ</t>
        </is>
      </c>
      <c r="C12" t="inlineStr">
        <is>
          <t>Chevrolet</t>
        </is>
      </c>
      <c r="D12" s="19" t="n">
        <v>2</v>
      </c>
      <c r="E12" s="14" t="n">
        <v>24820</v>
      </c>
      <c r="F12" s="14">
        <f>D12*E12</f>
        <v/>
      </c>
      <c r="G12" s="14" t="n">
        <v>18615</v>
      </c>
      <c r="H12" s="14" t="n">
        <v>29536</v>
      </c>
      <c r="I12" s="14" t="n">
        <v>2363</v>
      </c>
      <c r="J12" s="14" t="n">
        <v>29536</v>
      </c>
      <c r="K12" s="14" t="n"/>
      <c r="L12" s="14" t="n">
        <v>40900</v>
      </c>
      <c r="M12" s="14" t="n">
        <v>59800</v>
      </c>
      <c r="N12" s="14" t="n">
        <v>11364</v>
      </c>
      <c r="O12" s="14" t="n">
        <v>30264</v>
      </c>
      <c r="P12" s="14" t="n">
        <v>81800</v>
      </c>
      <c r="Q12" s="14" t="n">
        <v>119600</v>
      </c>
      <c r="R12" s="14" t="n">
        <v>4726</v>
      </c>
      <c r="S12" s="14" t="n">
        <v>59072</v>
      </c>
      <c r="T12" s="14" t="n">
        <v>22728</v>
      </c>
      <c r="U12" s="14" t="n">
        <v>60528</v>
      </c>
      <c r="V12" s="14">
        <f>ROUND((E12-G12)*D12,0)</f>
        <v/>
      </c>
    </row>
    <row r="13">
      <c r="A13" t="inlineStr">
        <is>
          <t>KSL-1006</t>
        </is>
      </c>
      <c r="B13" t="inlineStr">
        <is>
          <t>Bieleta Estab. Luv D-Max 4x4 RT-50 Del DER</t>
        </is>
      </c>
      <c r="C13" t="inlineStr">
        <is>
          <t>Chevrolet</t>
        </is>
      </c>
      <c r="D13" s="19" t="n">
        <v>2</v>
      </c>
      <c r="E13" s="14" t="n">
        <v>23630</v>
      </c>
      <c r="F13" s="14">
        <f>D13*E13</f>
        <v/>
      </c>
      <c r="G13" s="14" t="n">
        <v>17723</v>
      </c>
      <c r="H13" s="14" t="n">
        <v>28120</v>
      </c>
      <c r="I13" s="14" t="n">
        <v>2250</v>
      </c>
      <c r="J13" s="14" t="n">
        <v>28120</v>
      </c>
      <c r="K13" s="14" t="n"/>
      <c r="L13" s="14" t="n">
        <v>38900</v>
      </c>
      <c r="M13" s="14" t="n">
        <v>56900</v>
      </c>
      <c r="N13" s="14" t="n">
        <v>10780</v>
      </c>
      <c r="O13" s="14" t="n">
        <v>28780</v>
      </c>
      <c r="P13" s="14" t="n">
        <v>77800</v>
      </c>
      <c r="Q13" s="14" t="n">
        <v>113800</v>
      </c>
      <c r="R13" s="14" t="n">
        <v>4500</v>
      </c>
      <c r="S13" s="14" t="n">
        <v>56240</v>
      </c>
      <c r="T13" s="14" t="n">
        <v>21560</v>
      </c>
      <c r="U13" s="14" t="n">
        <v>57560</v>
      </c>
      <c r="V13" s="14">
        <f>ROUND((E13-G13)*D13,0)</f>
        <v/>
      </c>
    </row>
    <row r="14">
      <c r="A14" t="inlineStr">
        <is>
          <t>KSL-1004</t>
        </is>
      </c>
      <c r="B14" t="inlineStr">
        <is>
          <t>Bieleta Estab. Spark GT</t>
        </is>
      </c>
      <c r="C14" t="inlineStr">
        <is>
          <t>Chevrolet</t>
        </is>
      </c>
      <c r="D14" s="19" t="n">
        <v>2</v>
      </c>
      <c r="E14" s="14" t="n">
        <v>18040</v>
      </c>
      <c r="F14" s="14">
        <f>D14*E14</f>
        <v/>
      </c>
      <c r="G14" s="14" t="n">
        <v>13530</v>
      </c>
      <c r="H14" s="14" t="n">
        <v>21468</v>
      </c>
      <c r="I14" s="14" t="n">
        <v>1717</v>
      </c>
      <c r="J14" s="14" t="n">
        <v>21468</v>
      </c>
      <c r="K14" s="14" t="n"/>
      <c r="L14" s="14" t="n">
        <v>29700</v>
      </c>
      <c r="M14" s="14" t="n">
        <v>43500</v>
      </c>
      <c r="N14" s="14" t="n">
        <v>8232</v>
      </c>
      <c r="O14" s="14" t="n">
        <v>22032</v>
      </c>
      <c r="P14" s="14" t="n">
        <v>59400</v>
      </c>
      <c r="Q14" s="14" t="n">
        <v>87000</v>
      </c>
      <c r="R14" s="14" t="n">
        <v>3434</v>
      </c>
      <c r="S14" s="14" t="n">
        <v>42936</v>
      </c>
      <c r="T14" s="14" t="n">
        <v>16464</v>
      </c>
      <c r="U14" s="14" t="n">
        <v>44064</v>
      </c>
      <c r="V14" s="14">
        <f>ROUND((E14-G14)*D14,0)</f>
        <v/>
      </c>
    </row>
    <row r="15">
      <c r="A15" t="inlineStr">
        <is>
          <t>KRE-3015</t>
        </is>
      </c>
      <c r="B15" t="inlineStr">
        <is>
          <t>Terminal Axial Spark Chronos-Matiz</t>
        </is>
      </c>
      <c r="C15" t="inlineStr">
        <is>
          <t>Chevrolet</t>
        </is>
      </c>
      <c r="D15" s="19" t="n">
        <v>2</v>
      </c>
      <c r="E15" s="14" t="n">
        <v>20990</v>
      </c>
      <c r="F15" s="14">
        <f>D15*E15</f>
        <v/>
      </c>
      <c r="G15" s="14" t="n">
        <v>15743</v>
      </c>
      <c r="H15" s="14" t="n">
        <v>24978</v>
      </c>
      <c r="I15" s="14" t="n">
        <v>1998</v>
      </c>
      <c r="J15" s="14" t="n">
        <v>24978</v>
      </c>
      <c r="K15" s="14" t="n"/>
      <c r="L15" s="14" t="n">
        <v>34600</v>
      </c>
      <c r="M15" s="14" t="n">
        <v>50600</v>
      </c>
      <c r="N15" s="14" t="n">
        <v>9622</v>
      </c>
      <c r="O15" s="14" t="n">
        <v>25622</v>
      </c>
      <c r="P15" s="14" t="n">
        <v>69200</v>
      </c>
      <c r="Q15" s="14" t="n">
        <v>101200</v>
      </c>
      <c r="R15" s="14" t="n">
        <v>3996</v>
      </c>
      <c r="S15" s="14" t="n">
        <v>49956</v>
      </c>
      <c r="T15" s="14" t="n">
        <v>19244</v>
      </c>
      <c r="U15" s="14" t="n">
        <v>51244</v>
      </c>
      <c r="V15" s="14">
        <f>ROUND((E15-G15)*D15,0)</f>
        <v/>
      </c>
    </row>
    <row r="16">
      <c r="A16" t="inlineStr">
        <is>
          <t>KRE-3002</t>
        </is>
      </c>
      <c r="B16" t="inlineStr">
        <is>
          <t>Terminal Axial Aveo DER</t>
        </is>
      </c>
      <c r="C16" t="inlineStr">
        <is>
          <t>Chevrolet</t>
        </is>
      </c>
      <c r="D16" s="19" t="n">
        <v>2</v>
      </c>
      <c r="E16" s="14" t="n">
        <v>21910</v>
      </c>
      <c r="F16" s="14">
        <f>D16*E16</f>
        <v/>
      </c>
      <c r="G16" s="14" t="n">
        <v>16433</v>
      </c>
      <c r="H16" s="14" t="n">
        <v>26073</v>
      </c>
      <c r="I16" s="14" t="n">
        <v>2086</v>
      </c>
      <c r="J16" s="14" t="n">
        <v>26073</v>
      </c>
      <c r="K16" s="14" t="n"/>
      <c r="L16" s="14" t="n">
        <v>36100</v>
      </c>
      <c r="M16" s="14" t="n">
        <v>52800</v>
      </c>
      <c r="N16" s="14" t="n">
        <v>10027</v>
      </c>
      <c r="O16" s="14" t="n">
        <v>26727</v>
      </c>
      <c r="P16" s="14" t="n">
        <v>72200</v>
      </c>
      <c r="Q16" s="14" t="n">
        <v>105600</v>
      </c>
      <c r="R16" s="14" t="n">
        <v>4172</v>
      </c>
      <c r="S16" s="14" t="n">
        <v>52146</v>
      </c>
      <c r="T16" s="14" t="n">
        <v>20054</v>
      </c>
      <c r="U16" s="14" t="n">
        <v>53454</v>
      </c>
      <c r="V16" s="14">
        <f>ROUND((E16-G16)*D16,0)</f>
        <v/>
      </c>
    </row>
    <row r="17">
      <c r="A17" t="inlineStr">
        <is>
          <t>KSL-1010</t>
        </is>
      </c>
      <c r="B17" t="inlineStr">
        <is>
          <t>Bieleta Estab. Optra Del DER</t>
        </is>
      </c>
      <c r="C17" t="inlineStr">
        <is>
          <t>Chevrolet</t>
        </is>
      </c>
      <c r="D17" s="19" t="n">
        <v>2</v>
      </c>
      <c r="E17" s="14" t="n">
        <v>22220</v>
      </c>
      <c r="F17" s="14">
        <f>D17*E17</f>
        <v/>
      </c>
      <c r="G17" s="14" t="n">
        <v>16665</v>
      </c>
      <c r="H17" s="14" t="n">
        <v>26442</v>
      </c>
      <c r="I17" s="14" t="n">
        <v>2115</v>
      </c>
      <c r="J17" s="14" t="n">
        <v>26442</v>
      </c>
      <c r="K17" s="14" t="n"/>
      <c r="L17" s="14" t="n">
        <v>36600</v>
      </c>
      <c r="M17" s="14" t="n">
        <v>53500</v>
      </c>
      <c r="N17" s="14" t="n">
        <v>10158</v>
      </c>
      <c r="O17" s="14" t="n">
        <v>27058</v>
      </c>
      <c r="P17" s="14" t="n">
        <v>73200</v>
      </c>
      <c r="Q17" s="14" t="n">
        <v>107000</v>
      </c>
      <c r="R17" s="14" t="n">
        <v>4230</v>
      </c>
      <c r="S17" s="14" t="n">
        <v>52884</v>
      </c>
      <c r="T17" s="14" t="n">
        <v>20316</v>
      </c>
      <c r="U17" s="14" t="n">
        <v>54116</v>
      </c>
      <c r="V17" s="14">
        <f>ROUND((E17-G17)*D17,0)</f>
        <v/>
      </c>
    </row>
    <row r="18">
      <c r="A18" t="inlineStr">
        <is>
          <t>KSL-1011</t>
        </is>
      </c>
      <c r="B18" t="inlineStr">
        <is>
          <t>Bieleta Estab. Optra Del IZQ</t>
        </is>
      </c>
      <c r="C18" t="inlineStr">
        <is>
          <t>Chevrolet</t>
        </is>
      </c>
      <c r="D18" s="19" t="n">
        <v>2</v>
      </c>
      <c r="E18" s="14" t="n">
        <v>22220</v>
      </c>
      <c r="F18" s="14">
        <f>D18*E18</f>
        <v/>
      </c>
      <c r="G18" s="14" t="n">
        <v>16665</v>
      </c>
      <c r="H18" s="14" t="n">
        <v>26442</v>
      </c>
      <c r="I18" s="14" t="n">
        <v>2115</v>
      </c>
      <c r="J18" s="14" t="n">
        <v>26442</v>
      </c>
      <c r="K18" s="14" t="n"/>
      <c r="L18" s="14" t="n">
        <v>36600</v>
      </c>
      <c r="M18" s="14" t="n">
        <v>53500</v>
      </c>
      <c r="N18" s="14" t="n">
        <v>10158</v>
      </c>
      <c r="O18" s="14" t="n">
        <v>27058</v>
      </c>
      <c r="P18" s="14" t="n">
        <v>73200</v>
      </c>
      <c r="Q18" s="14" t="n">
        <v>107000</v>
      </c>
      <c r="R18" s="14" t="n">
        <v>4230</v>
      </c>
      <c r="S18" s="14" t="n">
        <v>52884</v>
      </c>
      <c r="T18" s="14" t="n">
        <v>20316</v>
      </c>
      <c r="U18" s="14" t="n">
        <v>54116</v>
      </c>
      <c r="V18" s="14">
        <f>ROUND((E18-G18)*D18,0)</f>
        <v/>
      </c>
    </row>
    <row r="19">
      <c r="A19" t="inlineStr">
        <is>
          <t>KRE-3013</t>
        </is>
      </c>
      <c r="B19" t="inlineStr">
        <is>
          <t>Terminal Axial Sail</t>
        </is>
      </c>
      <c r="C19" t="inlineStr">
        <is>
          <t>Chevrolet</t>
        </is>
      </c>
      <c r="D19" s="19" t="n">
        <v>2</v>
      </c>
      <c r="E19" s="14" t="n">
        <v>21470</v>
      </c>
      <c r="F19" s="14">
        <f>D19*E19</f>
        <v/>
      </c>
      <c r="G19" s="14" t="n">
        <v>16103</v>
      </c>
      <c r="H19" s="14" t="n">
        <v>25549</v>
      </c>
      <c r="I19" s="14" t="n">
        <v>2044</v>
      </c>
      <c r="J19" s="14" t="n">
        <v>25549</v>
      </c>
      <c r="K19" s="14" t="n"/>
      <c r="L19" s="14" t="n">
        <v>35400</v>
      </c>
      <c r="M19" s="14" t="n">
        <v>51700</v>
      </c>
      <c r="N19" s="14" t="n">
        <v>9851</v>
      </c>
      <c r="O19" s="14" t="n">
        <v>26151</v>
      </c>
      <c r="P19" s="14" t="n">
        <v>70800</v>
      </c>
      <c r="Q19" s="14" t="n">
        <v>103400</v>
      </c>
      <c r="R19" s="14" t="n">
        <v>4088</v>
      </c>
      <c r="S19" s="14" t="n">
        <v>51098</v>
      </c>
      <c r="T19" s="14" t="n">
        <v>19702</v>
      </c>
      <c r="U19" s="14" t="n">
        <v>52302</v>
      </c>
      <c r="V19" s="14">
        <f>ROUND((E19-G19)*D19,0)</f>
        <v/>
      </c>
    </row>
    <row r="20">
      <c r="A20" t="inlineStr">
        <is>
          <t>KRE-3026</t>
        </is>
      </c>
      <c r="B20" t="inlineStr">
        <is>
          <t>Terminal Axial Captiva 3.2 Tracker II 368mm-M14</t>
        </is>
      </c>
      <c r="C20" t="inlineStr">
        <is>
          <t>Chevrolet</t>
        </is>
      </c>
      <c r="D20" s="19" t="n">
        <v>2</v>
      </c>
      <c r="E20" s="14" t="n">
        <v>25870</v>
      </c>
      <c r="F20" s="14">
        <f>D20*E20</f>
        <v/>
      </c>
      <c r="G20" s="14" t="n">
        <v>19403</v>
      </c>
      <c r="H20" s="14" t="n">
        <v>30785</v>
      </c>
      <c r="I20" s="14" t="n">
        <v>2463</v>
      </c>
      <c r="J20" s="14" t="n">
        <v>30785</v>
      </c>
      <c r="K20" s="14" t="n"/>
      <c r="L20" s="14" t="n">
        <v>42600</v>
      </c>
      <c r="M20" s="14" t="n">
        <v>62300</v>
      </c>
      <c r="N20" s="14" t="n">
        <v>11815</v>
      </c>
      <c r="O20" s="14" t="n">
        <v>31515</v>
      </c>
      <c r="P20" s="14" t="n">
        <v>85200</v>
      </c>
      <c r="Q20" s="14" t="n">
        <v>124600</v>
      </c>
      <c r="R20" s="14" t="n">
        <v>4926</v>
      </c>
      <c r="S20" s="14" t="n">
        <v>61570</v>
      </c>
      <c r="T20" s="14" t="n">
        <v>23630</v>
      </c>
      <c r="U20" s="14" t="n">
        <v>63030</v>
      </c>
      <c r="V20" s="14">
        <f>ROUND((E20-G20)*D20,0)</f>
        <v/>
      </c>
    </row>
    <row r="21">
      <c r="A21" t="inlineStr">
        <is>
          <t>KSA-CH043</t>
        </is>
      </c>
      <c r="B21" t="inlineStr">
        <is>
          <t>Amortiguador Captiva 18-08 2.4 Del IZQ</t>
        </is>
      </c>
      <c r="C21" t="inlineStr">
        <is>
          <t>Chevrolet</t>
        </is>
      </c>
      <c r="D21" s="19" t="n">
        <v>1</v>
      </c>
      <c r="E21" s="14" t="n">
        <v>152460</v>
      </c>
      <c r="F21" s="14">
        <f>D21*E21</f>
        <v/>
      </c>
      <c r="G21" s="14" t="n">
        <v>114345</v>
      </c>
      <c r="H21" s="14" t="n">
        <v>181427</v>
      </c>
      <c r="I21" s="14" t="n">
        <v>14514</v>
      </c>
      <c r="J21" s="14" t="n">
        <v>181427</v>
      </c>
      <c r="K21" s="14" t="n"/>
      <c r="L21" s="14" t="n">
        <v>287000</v>
      </c>
      <c r="M21" s="14" t="n">
        <v>420000</v>
      </c>
      <c r="N21" s="14" t="n">
        <v>105573</v>
      </c>
      <c r="O21" s="14" t="n">
        <v>238573</v>
      </c>
      <c r="P21" s="14" t="n">
        <v>287000</v>
      </c>
      <c r="Q21" s="14" t="n">
        <v>420000</v>
      </c>
      <c r="R21" s="14" t="n">
        <v>14514</v>
      </c>
      <c r="S21" s="14" t="n">
        <v>181427</v>
      </c>
      <c r="T21" s="14" t="n">
        <v>105573</v>
      </c>
      <c r="U21" s="14" t="n">
        <v>238573</v>
      </c>
      <c r="V21" s="14">
        <f>ROUND((E21-G21)*D21,0)</f>
        <v/>
      </c>
    </row>
    <row r="22">
      <c r="A22" t="inlineStr">
        <is>
          <t>KSA-CH042</t>
        </is>
      </c>
      <c r="B22" t="inlineStr">
        <is>
          <t>Amortiguador Captiva 18-08 2.4 Del DER</t>
        </is>
      </c>
      <c r="C22" t="inlineStr">
        <is>
          <t>Chevrolet</t>
        </is>
      </c>
      <c r="D22" s="19" t="n">
        <v>1</v>
      </c>
      <c r="E22" s="14" t="n">
        <v>152460</v>
      </c>
      <c r="F22" s="14">
        <f>D22*E22</f>
        <v/>
      </c>
      <c r="G22" s="14" t="n">
        <v>114345</v>
      </c>
      <c r="H22" s="14" t="n">
        <v>181427</v>
      </c>
      <c r="I22" s="14" t="n">
        <v>14514</v>
      </c>
      <c r="J22" s="14" t="n">
        <v>181427</v>
      </c>
      <c r="K22" s="14" t="n"/>
      <c r="L22" s="14" t="n">
        <v>287000</v>
      </c>
      <c r="M22" s="14" t="n">
        <v>420000</v>
      </c>
      <c r="N22" s="14" t="n">
        <v>105573</v>
      </c>
      <c r="O22" s="14" t="n">
        <v>238573</v>
      </c>
      <c r="P22" s="14" t="n">
        <v>287000</v>
      </c>
      <c r="Q22" s="14" t="n">
        <v>420000</v>
      </c>
      <c r="R22" s="14" t="n">
        <v>14514</v>
      </c>
      <c r="S22" s="14" t="n">
        <v>181427</v>
      </c>
      <c r="T22" s="14" t="n">
        <v>105573</v>
      </c>
      <c r="U22" s="14" t="n">
        <v>238573</v>
      </c>
      <c r="V22" s="14">
        <f>ROUND((E22-G22)*D22,0)</f>
        <v/>
      </c>
    </row>
    <row r="23">
      <c r="A23" t="inlineStr">
        <is>
          <t>KBJ-4091</t>
        </is>
      </c>
      <c r="B23" t="inlineStr">
        <is>
          <t>Rótula Cobalt-Tracker-Sonic-Onix</t>
        </is>
      </c>
      <c r="C23" t="inlineStr">
        <is>
          <t>Chevrolet</t>
        </is>
      </c>
      <c r="D23" s="19" t="n">
        <v>2</v>
      </c>
      <c r="E23" s="14" t="n">
        <v>28420</v>
      </c>
      <c r="F23" s="14">
        <f>D23*E23</f>
        <v/>
      </c>
      <c r="G23" s="14" t="n">
        <v>21315</v>
      </c>
      <c r="H23" s="14" t="n">
        <v>33820</v>
      </c>
      <c r="I23" s="14" t="n">
        <v>2706</v>
      </c>
      <c r="J23" s="14" t="n">
        <v>33820</v>
      </c>
      <c r="K23" s="14" t="n"/>
      <c r="L23" s="14" t="n">
        <v>46800</v>
      </c>
      <c r="M23" s="14" t="n">
        <v>68500</v>
      </c>
      <c r="N23" s="14" t="n">
        <v>12980</v>
      </c>
      <c r="O23" s="14" t="n">
        <v>34680</v>
      </c>
      <c r="P23" s="14" t="n">
        <v>93600</v>
      </c>
      <c r="Q23" s="14" t="n">
        <v>137000</v>
      </c>
      <c r="R23" s="14" t="n">
        <v>5412</v>
      </c>
      <c r="S23" s="14" t="n">
        <v>67640</v>
      </c>
      <c r="T23" s="14" t="n">
        <v>25960</v>
      </c>
      <c r="U23" s="14" t="n">
        <v>69360</v>
      </c>
      <c r="V23" s="14">
        <f>ROUND((E23-G23)*D23,0)</f>
        <v/>
      </c>
    </row>
    <row r="24">
      <c r="A24" t="inlineStr">
        <is>
          <t>KTR-4018</t>
        </is>
      </c>
      <c r="B24" t="inlineStr">
        <is>
          <t>Terminal Dir Spark Chronos / Daewoo Matiz-Tico</t>
        </is>
      </c>
      <c r="C24" t="inlineStr">
        <is>
          <t>Chevrolet/Daewoo</t>
        </is>
      </c>
      <c r="D24" s="19" t="n">
        <v>2</v>
      </c>
      <c r="E24" s="14" t="n">
        <v>17290</v>
      </c>
      <c r="F24" s="14">
        <f>D24*E24</f>
        <v/>
      </c>
      <c r="G24" s="14" t="n">
        <v>12968</v>
      </c>
      <c r="H24" s="14" t="n">
        <v>20575</v>
      </c>
      <c r="I24" s="14" t="n">
        <v>1646</v>
      </c>
      <c r="J24" s="14" t="n">
        <v>20575</v>
      </c>
      <c r="K24" s="14" t="n"/>
      <c r="L24" s="14" t="n">
        <v>28500</v>
      </c>
      <c r="M24" s="14" t="n">
        <v>41700</v>
      </c>
      <c r="N24" s="14" t="n">
        <v>7925</v>
      </c>
      <c r="O24" s="14" t="n">
        <v>21125</v>
      </c>
      <c r="P24" s="14" t="n">
        <v>57000</v>
      </c>
      <c r="Q24" s="14" t="n">
        <v>83400</v>
      </c>
      <c r="R24" s="14" t="n">
        <v>3292</v>
      </c>
      <c r="S24" s="14" t="n">
        <v>41150</v>
      </c>
      <c r="T24" s="14" t="n">
        <v>15850</v>
      </c>
      <c r="U24" s="14" t="n">
        <v>42250</v>
      </c>
      <c r="V24" s="14">
        <f>ROUND((E24-G24)*D24,0)</f>
        <v/>
      </c>
    </row>
    <row r="25">
      <c r="A25" t="inlineStr">
        <is>
          <t>KSA-DA001</t>
        </is>
      </c>
      <c r="B25" t="inlineStr">
        <is>
          <t>Amortiguador Spark 7.24 / Daewoo Matiz II Del DER</t>
        </is>
      </c>
      <c r="C25" t="inlineStr">
        <is>
          <t>Chevrolet/Daewoo</t>
        </is>
      </c>
      <c r="D25" s="19" t="n">
        <v>1</v>
      </c>
      <c r="E25" s="14" t="n">
        <v>78800</v>
      </c>
      <c r="F25" s="14">
        <f>D25*E25</f>
        <v/>
      </c>
      <c r="G25" s="14" t="n">
        <v>59100</v>
      </c>
      <c r="H25" s="14" t="n">
        <v>93772</v>
      </c>
      <c r="I25" s="14" t="n">
        <v>7502</v>
      </c>
      <c r="J25" s="14" t="n">
        <v>93772</v>
      </c>
      <c r="K25" s="14" t="n"/>
      <c r="L25" s="14" t="n">
        <v>148300</v>
      </c>
      <c r="M25" s="14" t="n">
        <v>217100</v>
      </c>
      <c r="N25" s="14" t="n">
        <v>54528</v>
      </c>
      <c r="O25" s="14" t="n">
        <v>123328</v>
      </c>
      <c r="P25" s="14" t="n">
        <v>148300</v>
      </c>
      <c r="Q25" s="14" t="n">
        <v>217100</v>
      </c>
      <c r="R25" s="14" t="n">
        <v>7502</v>
      </c>
      <c r="S25" s="14" t="n">
        <v>93772</v>
      </c>
      <c r="T25" s="14" t="n">
        <v>54528</v>
      </c>
      <c r="U25" s="14" t="n">
        <v>123328</v>
      </c>
      <c r="V25" s="14">
        <f>ROUND((E25-G25)*D25,0)</f>
        <v/>
      </c>
    </row>
    <row r="26">
      <c r="A26" t="inlineStr">
        <is>
          <t>KSA-DA002</t>
        </is>
      </c>
      <c r="B26" t="inlineStr">
        <is>
          <t>Amortiguador Spark 7.24 / Daewoo Matiz II Del IZQ</t>
        </is>
      </c>
      <c r="C26" t="inlineStr">
        <is>
          <t>Chevrolet/Daewoo</t>
        </is>
      </c>
      <c r="D26" s="19" t="n">
        <v>1</v>
      </c>
      <c r="E26" s="14" t="n">
        <v>78800</v>
      </c>
      <c r="F26" s="14">
        <f>D26*E26</f>
        <v/>
      </c>
      <c r="G26" s="14" t="n">
        <v>59100</v>
      </c>
      <c r="H26" s="14" t="n">
        <v>93772</v>
      </c>
      <c r="I26" s="14" t="n">
        <v>7502</v>
      </c>
      <c r="J26" s="14" t="n">
        <v>93772</v>
      </c>
      <c r="K26" s="14" t="n"/>
      <c r="L26" s="14" t="n">
        <v>148300</v>
      </c>
      <c r="M26" s="14" t="n">
        <v>217100</v>
      </c>
      <c r="N26" s="14" t="n">
        <v>54528</v>
      </c>
      <c r="O26" s="14" t="n">
        <v>123328</v>
      </c>
      <c r="P26" s="14" t="n">
        <v>148300</v>
      </c>
      <c r="Q26" s="14" t="n">
        <v>217100</v>
      </c>
      <c r="R26" s="14" t="n">
        <v>7502</v>
      </c>
      <c r="S26" s="14" t="n">
        <v>93772</v>
      </c>
      <c r="T26" s="14" t="n">
        <v>54528</v>
      </c>
      <c r="U26" s="14" t="n">
        <v>123328</v>
      </c>
      <c r="V26" s="14">
        <f>ROUND((E26-G26)*D26,0)</f>
        <v/>
      </c>
    </row>
    <row r="27">
      <c r="A27" t="inlineStr">
        <is>
          <t>KSL-1001</t>
        </is>
      </c>
      <c r="B27" t="inlineStr">
        <is>
          <t>Bieleta Estab. Aveo / Allegro</t>
        </is>
      </c>
      <c r="C27" t="inlineStr">
        <is>
          <t>Chevrolet/Mazda</t>
        </is>
      </c>
      <c r="D27" s="19" t="n">
        <v>2</v>
      </c>
      <c r="E27" s="14" t="n">
        <v>18220</v>
      </c>
      <c r="F27" s="14">
        <f>D27*E27</f>
        <v/>
      </c>
      <c r="G27" s="14" t="n">
        <v>13665</v>
      </c>
      <c r="H27" s="14" t="n">
        <v>21682</v>
      </c>
      <c r="I27" s="14" t="n">
        <v>1735</v>
      </c>
      <c r="J27" s="14" t="n">
        <v>21682</v>
      </c>
      <c r="K27" s="14" t="n"/>
      <c r="L27" s="14" t="n">
        <v>30000</v>
      </c>
      <c r="M27" s="14" t="n">
        <v>43900</v>
      </c>
      <c r="N27" s="14" t="n">
        <v>8318</v>
      </c>
      <c r="O27" s="14" t="n">
        <v>22218</v>
      </c>
      <c r="P27" s="14" t="n">
        <v>60000</v>
      </c>
      <c r="Q27" s="14" t="n">
        <v>87800</v>
      </c>
      <c r="R27" s="14" t="n">
        <v>3470</v>
      </c>
      <c r="S27" s="14" t="n">
        <v>43364</v>
      </c>
      <c r="T27" s="14" t="n">
        <v>16636</v>
      </c>
      <c r="U27" s="14" t="n">
        <v>44436</v>
      </c>
      <c r="V27" s="14">
        <f>ROUND((E27-G27)*D27,0)</f>
        <v/>
      </c>
    </row>
    <row r="28">
      <c r="A28" t="inlineStr">
        <is>
          <t>KSL-1013</t>
        </is>
      </c>
      <c r="B28" t="inlineStr">
        <is>
          <t>Bieleta Estab. Swift-Esteem-Vitara / Nissan Sentra</t>
        </is>
      </c>
      <c r="C28" t="inlineStr">
        <is>
          <t>Chevrolet/Nissan</t>
        </is>
      </c>
      <c r="D28" s="19" t="n">
        <v>2</v>
      </c>
      <c r="E28" s="14" t="n">
        <v>17200</v>
      </c>
      <c r="F28" s="14">
        <f>D28*E28</f>
        <v/>
      </c>
      <c r="G28" s="14" t="n">
        <v>12900</v>
      </c>
      <c r="H28" s="14" t="n">
        <v>20468</v>
      </c>
      <c r="I28" s="14" t="n">
        <v>1637</v>
      </c>
      <c r="J28" s="14" t="n">
        <v>20468</v>
      </c>
      <c r="K28" s="14" t="n"/>
      <c r="L28" s="14" t="n">
        <v>28300</v>
      </c>
      <c r="M28" s="14" t="n">
        <v>41400</v>
      </c>
      <c r="N28" s="14" t="n">
        <v>7832</v>
      </c>
      <c r="O28" s="14" t="n">
        <v>20932</v>
      </c>
      <c r="P28" s="14" t="n">
        <v>56600</v>
      </c>
      <c r="Q28" s="14" t="n">
        <v>82800</v>
      </c>
      <c r="R28" s="14" t="n">
        <v>3274</v>
      </c>
      <c r="S28" s="14" t="n">
        <v>40936</v>
      </c>
      <c r="T28" s="14" t="n">
        <v>15664</v>
      </c>
      <c r="U28" s="14" t="n">
        <v>41864</v>
      </c>
      <c r="V28" s="14">
        <f>ROUND((E28-G28)*D28,0)</f>
        <v/>
      </c>
    </row>
    <row r="29">
      <c r="A29" t="inlineStr">
        <is>
          <t>KTR-4333</t>
        </is>
      </c>
      <c r="B29" t="inlineStr">
        <is>
          <t>Terminal Dirección Fiesta 18-12 IZQ</t>
        </is>
      </c>
      <c r="C29" t="inlineStr">
        <is>
          <t>Ford</t>
        </is>
      </c>
      <c r="D29" s="19" t="n">
        <v>2</v>
      </c>
      <c r="E29" s="14" t="n">
        <v>18920</v>
      </c>
      <c r="F29" s="14">
        <f>D29*E29</f>
        <v/>
      </c>
      <c r="G29" s="14" t="n">
        <v>14190</v>
      </c>
      <c r="H29" s="14" t="n">
        <v>22515</v>
      </c>
      <c r="I29" s="14" t="n">
        <v>1801</v>
      </c>
      <c r="J29" s="14" t="n">
        <v>22515</v>
      </c>
      <c r="K29" s="14" t="n"/>
      <c r="L29" s="14" t="n">
        <v>31200</v>
      </c>
      <c r="M29" s="14" t="n">
        <v>45600</v>
      </c>
      <c r="N29" s="14" t="n">
        <v>8685</v>
      </c>
      <c r="O29" s="14" t="n">
        <v>23085</v>
      </c>
      <c r="P29" s="14" t="n">
        <v>62400</v>
      </c>
      <c r="Q29" s="14" t="n">
        <v>91200</v>
      </c>
      <c r="R29" s="14" t="n">
        <v>3602</v>
      </c>
      <c r="S29" s="14" t="n">
        <v>45030</v>
      </c>
      <c r="T29" s="14" t="n">
        <v>17370</v>
      </c>
      <c r="U29" s="14" t="n">
        <v>46170</v>
      </c>
      <c r="V29" s="14">
        <f>ROUND((E29-G29)*D29,0)</f>
        <v/>
      </c>
    </row>
    <row r="30">
      <c r="A30" t="inlineStr">
        <is>
          <t>KTR-4332</t>
        </is>
      </c>
      <c r="B30" t="inlineStr">
        <is>
          <t>Terminal Dir Ford Fiesta 18-12 DER</t>
        </is>
      </c>
      <c r="C30" t="inlineStr">
        <is>
          <t>Ford</t>
        </is>
      </c>
      <c r="D30" s="19" t="n">
        <v>2</v>
      </c>
      <c r="E30" s="14" t="n">
        <v>18920</v>
      </c>
      <c r="F30" s="14">
        <f>D30*E30</f>
        <v/>
      </c>
      <c r="G30" s="14" t="n">
        <v>14190</v>
      </c>
      <c r="H30" s="14" t="n">
        <v>22515</v>
      </c>
      <c r="I30" s="14" t="n">
        <v>1801</v>
      </c>
      <c r="J30" s="14" t="n">
        <v>22515</v>
      </c>
      <c r="K30" s="14" t="n"/>
      <c r="L30" s="14" t="n">
        <v>31200</v>
      </c>
      <c r="M30" s="14" t="n">
        <v>45600</v>
      </c>
      <c r="N30" s="14" t="n">
        <v>8685</v>
      </c>
      <c r="O30" s="14" t="n">
        <v>23085</v>
      </c>
      <c r="P30" s="14" t="n">
        <v>62400</v>
      </c>
      <c r="Q30" s="14" t="n">
        <v>91200</v>
      </c>
      <c r="R30" s="14" t="n">
        <v>3602</v>
      </c>
      <c r="S30" s="14" t="n">
        <v>45030</v>
      </c>
      <c r="T30" s="14" t="n">
        <v>17370</v>
      </c>
      <c r="U30" s="14" t="n">
        <v>46170</v>
      </c>
      <c r="V30" s="14">
        <f>ROUND((E30-G30)*D30,0)</f>
        <v/>
      </c>
    </row>
    <row r="31">
      <c r="A31" t="inlineStr">
        <is>
          <t>KRE-3024</t>
        </is>
      </c>
      <c r="B31" t="inlineStr">
        <is>
          <t>Terminal Axial Ford Fiesta 18-12 SE</t>
        </is>
      </c>
      <c r="C31" t="inlineStr">
        <is>
          <t>Ford</t>
        </is>
      </c>
      <c r="D31" s="19" t="n">
        <v>2</v>
      </c>
      <c r="E31" s="14" t="n">
        <v>20720</v>
      </c>
      <c r="F31" s="14">
        <f>D31*E31</f>
        <v/>
      </c>
      <c r="G31" s="14" t="n">
        <v>15540</v>
      </c>
      <c r="H31" s="14" t="n">
        <v>24657</v>
      </c>
      <c r="I31" s="14" t="n">
        <v>1973</v>
      </c>
      <c r="J31" s="14" t="n">
        <v>24657</v>
      </c>
      <c r="K31" s="14" t="n"/>
      <c r="L31" s="14" t="n">
        <v>34100</v>
      </c>
      <c r="M31" s="14" t="n">
        <v>49900</v>
      </c>
      <c r="N31" s="14" t="n">
        <v>9443</v>
      </c>
      <c r="O31" s="14" t="n">
        <v>25243</v>
      </c>
      <c r="P31" s="14" t="n">
        <v>68200</v>
      </c>
      <c r="Q31" s="14" t="n">
        <v>99800</v>
      </c>
      <c r="R31" s="14" t="n">
        <v>3946</v>
      </c>
      <c r="S31" s="14" t="n">
        <v>49314</v>
      </c>
      <c r="T31" s="14" t="n">
        <v>18886</v>
      </c>
      <c r="U31" s="14" t="n">
        <v>50486</v>
      </c>
      <c r="V31" s="14">
        <f>ROUND((E31-G31)*D31,0)</f>
        <v/>
      </c>
    </row>
    <row r="32">
      <c r="A32" t="inlineStr">
        <is>
          <t>KSA-FO001</t>
        </is>
      </c>
      <c r="B32" t="inlineStr">
        <is>
          <t>Amortiguador Ford Fiesta Del IZQ</t>
        </is>
      </c>
      <c r="C32" t="inlineStr">
        <is>
          <t>Ford</t>
        </is>
      </c>
      <c r="D32" s="19" t="n">
        <v>1</v>
      </c>
      <c r="E32" s="14" t="n">
        <v>123900</v>
      </c>
      <c r="F32" s="14">
        <f>D32*E32</f>
        <v/>
      </c>
      <c r="G32" s="14" t="n">
        <v>92925</v>
      </c>
      <c r="H32" s="14" t="n">
        <v>147441</v>
      </c>
      <c r="I32" s="14" t="n">
        <v>11795</v>
      </c>
      <c r="J32" s="14" t="n">
        <v>147441</v>
      </c>
      <c r="K32" s="14" t="n"/>
      <c r="L32" s="14" t="n">
        <v>233200</v>
      </c>
      <c r="M32" s="14" t="n">
        <v>341300</v>
      </c>
      <c r="N32" s="14" t="n">
        <v>85759</v>
      </c>
      <c r="O32" s="14" t="n">
        <v>193859</v>
      </c>
      <c r="P32" s="14" t="n">
        <v>233200</v>
      </c>
      <c r="Q32" s="14" t="n">
        <v>341300</v>
      </c>
      <c r="R32" s="14" t="n">
        <v>11795</v>
      </c>
      <c r="S32" s="14" t="n">
        <v>147441</v>
      </c>
      <c r="T32" s="14" t="n">
        <v>85759</v>
      </c>
      <c r="U32" s="14" t="n">
        <v>193859</v>
      </c>
      <c r="V32" s="14">
        <f>ROUND((E32-G32)*D32,0)</f>
        <v/>
      </c>
    </row>
    <row r="33">
      <c r="A33" t="inlineStr">
        <is>
          <t>KSA-FO002</t>
        </is>
      </c>
      <c r="B33" t="inlineStr">
        <is>
          <t>Amortiguador Ford Fiesta Del DER</t>
        </is>
      </c>
      <c r="C33" t="inlineStr">
        <is>
          <t>Ford</t>
        </is>
      </c>
      <c r="D33" s="19" t="n">
        <v>1</v>
      </c>
      <c r="E33" s="14" t="n">
        <v>123900</v>
      </c>
      <c r="F33" s="14">
        <f>D33*E33</f>
        <v/>
      </c>
      <c r="G33" s="14" t="n">
        <v>92925</v>
      </c>
      <c r="H33" s="14" t="n">
        <v>147441</v>
      </c>
      <c r="I33" s="14" t="n">
        <v>11795</v>
      </c>
      <c r="J33" s="14" t="n">
        <v>147441</v>
      </c>
      <c r="K33" s="14" t="n"/>
      <c r="L33" s="14" t="n">
        <v>233200</v>
      </c>
      <c r="M33" s="14" t="n">
        <v>341300</v>
      </c>
      <c r="N33" s="14" t="n">
        <v>85759</v>
      </c>
      <c r="O33" s="14" t="n">
        <v>193859</v>
      </c>
      <c r="P33" s="14" t="n">
        <v>233200</v>
      </c>
      <c r="Q33" s="14" t="n">
        <v>341300</v>
      </c>
      <c r="R33" s="14" t="n">
        <v>11795</v>
      </c>
      <c r="S33" s="14" t="n">
        <v>147441</v>
      </c>
      <c r="T33" s="14" t="n">
        <v>85759</v>
      </c>
      <c r="U33" s="14" t="n">
        <v>193859</v>
      </c>
      <c r="V33" s="14">
        <f>ROUND((E33-G33)*D33,0)</f>
        <v/>
      </c>
    </row>
    <row r="34">
      <c r="A34" t="inlineStr">
        <is>
          <t>KRE-3103</t>
        </is>
      </c>
      <c r="B34" t="inlineStr">
        <is>
          <t>Terminal Axial Atos-Santro</t>
        </is>
      </c>
      <c r="C34" t="inlineStr">
        <is>
          <t>Hyundai</t>
        </is>
      </c>
      <c r="D34" s="19" t="n">
        <v>2</v>
      </c>
      <c r="E34" s="14" t="n">
        <v>18520</v>
      </c>
      <c r="F34" s="14">
        <f>D34*E34</f>
        <v/>
      </c>
      <c r="G34" s="14" t="n">
        <v>13890</v>
      </c>
      <c r="H34" s="14" t="n">
        <v>22039</v>
      </c>
      <c r="I34" s="14" t="n">
        <v>1763</v>
      </c>
      <c r="J34" s="14" t="n">
        <v>22039</v>
      </c>
      <c r="K34" s="14" t="n"/>
      <c r="L34" s="14" t="n">
        <v>30500</v>
      </c>
      <c r="M34" s="14" t="n">
        <v>44600</v>
      </c>
      <c r="N34" s="14" t="n">
        <v>8461</v>
      </c>
      <c r="O34" s="14" t="n">
        <v>22561</v>
      </c>
      <c r="P34" s="14" t="n">
        <v>61000</v>
      </c>
      <c r="Q34" s="14" t="n">
        <v>89200</v>
      </c>
      <c r="R34" s="14" t="n">
        <v>3526</v>
      </c>
      <c r="S34" s="14" t="n">
        <v>44078</v>
      </c>
      <c r="T34" s="14" t="n">
        <v>16922</v>
      </c>
      <c r="U34" s="14" t="n">
        <v>45122</v>
      </c>
      <c r="V34" s="14">
        <f>ROUND((E34-G34)*D34,0)</f>
        <v/>
      </c>
    </row>
    <row r="35">
      <c r="A35" t="inlineStr">
        <is>
          <t>KBJ-4021</t>
        </is>
      </c>
      <c r="B35" t="inlineStr">
        <is>
          <t>Rótula Hyundai Atos-Santro</t>
        </is>
      </c>
      <c r="C35" t="inlineStr">
        <is>
          <t>Hyundai</t>
        </is>
      </c>
      <c r="D35" s="19" t="n">
        <v>2</v>
      </c>
      <c r="E35" s="14" t="n">
        <v>19980</v>
      </c>
      <c r="F35" s="14">
        <f>D35*E35</f>
        <v/>
      </c>
      <c r="G35" s="14" t="n">
        <v>14985</v>
      </c>
      <c r="H35" s="14" t="n">
        <v>23776</v>
      </c>
      <c r="I35" s="14" t="n">
        <v>1902</v>
      </c>
      <c r="J35" s="14" t="n">
        <v>23776</v>
      </c>
      <c r="K35" s="14" t="n"/>
      <c r="L35" s="14" t="n">
        <v>32900</v>
      </c>
      <c r="M35" s="14" t="n">
        <v>48100</v>
      </c>
      <c r="N35" s="14" t="n">
        <v>9124</v>
      </c>
      <c r="O35" s="14" t="n">
        <v>24324</v>
      </c>
      <c r="P35" s="14" t="n">
        <v>65800</v>
      </c>
      <c r="Q35" s="14" t="n">
        <v>96200</v>
      </c>
      <c r="R35" s="14" t="n">
        <v>3804</v>
      </c>
      <c r="S35" s="14" t="n">
        <v>47552</v>
      </c>
      <c r="T35" s="14" t="n">
        <v>18248</v>
      </c>
      <c r="U35" s="14" t="n">
        <v>48648</v>
      </c>
      <c r="V35" s="14">
        <f>ROUND((E35-G35)*D35,0)</f>
        <v/>
      </c>
    </row>
    <row r="36">
      <c r="A36" t="inlineStr">
        <is>
          <t>KBJ-4020</t>
        </is>
      </c>
      <c r="B36" t="inlineStr">
        <is>
          <t>ROTULA HYUNDAI ACCENT VISION-KIA SEPHIA</t>
        </is>
      </c>
      <c r="C36" t="inlineStr">
        <is>
          <t>Hyundai/Kia</t>
        </is>
      </c>
      <c r="D36" s="19" t="n">
        <v>2</v>
      </c>
      <c r="E36" s="14" t="n">
        <v>23100</v>
      </c>
      <c r="F36" s="14">
        <f>D36*E36</f>
        <v/>
      </c>
      <c r="G36" s="14" t="n">
        <v>17325</v>
      </c>
      <c r="H36" s="14" t="n">
        <v>27489</v>
      </c>
      <c r="I36" s="14" t="n">
        <v>2199</v>
      </c>
      <c r="J36" s="14" t="n">
        <v>27489</v>
      </c>
      <c r="K36" s="14" t="n"/>
      <c r="L36" s="14" t="n">
        <v>38000</v>
      </c>
      <c r="M36" s="14" t="n">
        <v>55700</v>
      </c>
      <c r="N36" s="14" t="n">
        <v>10511</v>
      </c>
      <c r="O36" s="14" t="n">
        <v>28211</v>
      </c>
      <c r="P36" s="14" t="n">
        <v>76000</v>
      </c>
      <c r="Q36" s="14" t="n">
        <v>111400</v>
      </c>
      <c r="R36" s="14" t="n">
        <v>4398</v>
      </c>
      <c r="S36" s="14" t="n">
        <v>54978</v>
      </c>
      <c r="T36" s="14" t="n">
        <v>21022</v>
      </c>
      <c r="U36" s="14" t="n">
        <v>56422</v>
      </c>
      <c r="V36" s="14">
        <f>ROUND((E36-G36)*D36,0)</f>
        <v/>
      </c>
    </row>
    <row r="37">
      <c r="A37" t="inlineStr">
        <is>
          <t>KTR-4204</t>
        </is>
      </c>
      <c r="B37" t="inlineStr">
        <is>
          <t>Terminal Dir H Atos-Santro-i10 / Kia Picanto-Stylus</t>
        </is>
      </c>
      <c r="C37" t="inlineStr">
        <is>
          <t>Hyundai/Kia</t>
        </is>
      </c>
      <c r="D37" s="19" t="n">
        <v>2</v>
      </c>
      <c r="E37" s="14" t="n">
        <v>16680</v>
      </c>
      <c r="F37" s="14">
        <f>D37*E37</f>
        <v/>
      </c>
      <c r="G37" s="14" t="n">
        <v>12510</v>
      </c>
      <c r="H37" s="14" t="n">
        <v>19849</v>
      </c>
      <c r="I37" s="14" t="n">
        <v>1588</v>
      </c>
      <c r="J37" s="14" t="n">
        <v>19849</v>
      </c>
      <c r="K37" s="14" t="n"/>
      <c r="L37" s="14" t="n">
        <v>27500</v>
      </c>
      <c r="M37" s="14" t="n">
        <v>40200</v>
      </c>
      <c r="N37" s="14" t="n">
        <v>7651</v>
      </c>
      <c r="O37" s="14" t="n">
        <v>20351</v>
      </c>
      <c r="P37" s="14" t="n">
        <v>55000</v>
      </c>
      <c r="Q37" s="14" t="n">
        <v>80400</v>
      </c>
      <c r="R37" s="14" t="n">
        <v>3176</v>
      </c>
      <c r="S37" s="14" t="n">
        <v>39698</v>
      </c>
      <c r="T37" s="14" t="n">
        <v>15302</v>
      </c>
      <c r="U37" s="14" t="n">
        <v>40702</v>
      </c>
      <c r="V37" s="14">
        <f>ROUND((E37-G37)*D37,0)</f>
        <v/>
      </c>
    </row>
    <row r="38">
      <c r="A38" t="inlineStr">
        <is>
          <t>KTR-4213</t>
        </is>
      </c>
      <c r="B38" t="inlineStr">
        <is>
          <t>Terminal Dir Accent Vision IZQ / Kia Rio Xcite IZQ</t>
        </is>
      </c>
      <c r="C38" t="inlineStr">
        <is>
          <t>Hyundai/Kia</t>
        </is>
      </c>
      <c r="D38" s="19" t="n">
        <v>2</v>
      </c>
      <c r="E38" s="14" t="n">
        <v>28160</v>
      </c>
      <c r="F38" s="14">
        <f>D38*E38</f>
        <v/>
      </c>
      <c r="G38" s="14" t="n">
        <v>21120</v>
      </c>
      <c r="H38" s="14" t="n">
        <v>33510</v>
      </c>
      <c r="I38" s="14" t="n">
        <v>2681</v>
      </c>
      <c r="J38" s="14" t="n">
        <v>33510</v>
      </c>
      <c r="K38" s="14" t="n"/>
      <c r="L38" s="14" t="n">
        <v>46400</v>
      </c>
      <c r="M38" s="14" t="n">
        <v>67800</v>
      </c>
      <c r="N38" s="14" t="n">
        <v>12890</v>
      </c>
      <c r="O38" s="14" t="n">
        <v>34290</v>
      </c>
      <c r="P38" s="14" t="n">
        <v>92800</v>
      </c>
      <c r="Q38" s="14" t="n">
        <v>135600</v>
      </c>
      <c r="R38" s="14" t="n">
        <v>5362</v>
      </c>
      <c r="S38" s="14" t="n">
        <v>67020</v>
      </c>
      <c r="T38" s="14" t="n">
        <v>25780</v>
      </c>
      <c r="U38" s="14" t="n">
        <v>68580</v>
      </c>
      <c r="V38" s="14">
        <f>ROUND((E38-G38)*D38,0)</f>
        <v/>
      </c>
    </row>
    <row r="39">
      <c r="A39" t="inlineStr">
        <is>
          <t>KTR-4212</t>
        </is>
      </c>
      <c r="B39" t="inlineStr">
        <is>
          <t>Terminal Dir Accent Vision DER / Kia Rio Xcite DER</t>
        </is>
      </c>
      <c r="C39" t="inlineStr">
        <is>
          <t>Hyundai/Kia</t>
        </is>
      </c>
      <c r="D39" s="19" t="n">
        <v>2</v>
      </c>
      <c r="E39" s="14" t="n">
        <v>28160</v>
      </c>
      <c r="F39" s="14">
        <f>D39*E39</f>
        <v/>
      </c>
      <c r="G39" s="14" t="n">
        <v>21120</v>
      </c>
      <c r="H39" s="14" t="n">
        <v>33510</v>
      </c>
      <c r="I39" s="14" t="n">
        <v>2681</v>
      </c>
      <c r="J39" s="14" t="n">
        <v>33510</v>
      </c>
      <c r="K39" s="14" t="n"/>
      <c r="L39" s="14" t="n">
        <v>46400</v>
      </c>
      <c r="M39" s="14" t="n">
        <v>67800</v>
      </c>
      <c r="N39" s="14" t="n">
        <v>12890</v>
      </c>
      <c r="O39" s="14" t="n">
        <v>34290</v>
      </c>
      <c r="P39" s="14" t="n">
        <v>92800</v>
      </c>
      <c r="Q39" s="14" t="n">
        <v>135600</v>
      </c>
      <c r="R39" s="14" t="n">
        <v>5362</v>
      </c>
      <c r="S39" s="14" t="n">
        <v>67020</v>
      </c>
      <c r="T39" s="14" t="n">
        <v>25780</v>
      </c>
      <c r="U39" s="14" t="n">
        <v>68580</v>
      </c>
      <c r="V39" s="14">
        <f>ROUND((E39-G39)*D39,0)</f>
        <v/>
      </c>
    </row>
    <row r="40">
      <c r="A40" t="inlineStr">
        <is>
          <t>KSL-2014</t>
        </is>
      </c>
      <c r="B40" t="inlineStr">
        <is>
          <t>Bieleta Estab. Hyundai i10 Del DER / Grand i10 / Elantra / Kia Picanto Morning</t>
        </is>
      </c>
      <c r="C40" t="inlineStr">
        <is>
          <t>Hyundai/Kia</t>
        </is>
      </c>
      <c r="D40" s="19" t="n">
        <v>2</v>
      </c>
      <c r="E40" s="14" t="n">
        <v>18390</v>
      </c>
      <c r="F40" s="14">
        <f>D40*E40</f>
        <v/>
      </c>
      <c r="G40" s="14" t="n">
        <v>13793</v>
      </c>
      <c r="H40" s="14" t="n">
        <v>21884</v>
      </c>
      <c r="I40" s="14" t="n">
        <v>1751</v>
      </c>
      <c r="J40" s="14" t="n">
        <v>21884</v>
      </c>
      <c r="K40" s="14" t="n"/>
      <c r="L40" s="14" t="n">
        <v>30300</v>
      </c>
      <c r="M40" s="14" t="n">
        <v>44300</v>
      </c>
      <c r="N40" s="14" t="n">
        <v>8416</v>
      </c>
      <c r="O40" s="14" t="n">
        <v>22416</v>
      </c>
      <c r="P40" s="14" t="n">
        <v>60600</v>
      </c>
      <c r="Q40" s="14" t="n">
        <v>88600</v>
      </c>
      <c r="R40" s="14" t="n">
        <v>3502</v>
      </c>
      <c r="S40" s="14" t="n">
        <v>43768</v>
      </c>
      <c r="T40" s="14" t="n">
        <v>16832</v>
      </c>
      <c r="U40" s="14" t="n">
        <v>44832</v>
      </c>
      <c r="V40" s="14">
        <f>ROUND((E40-G40)*D40,0)</f>
        <v/>
      </c>
    </row>
    <row r="41">
      <c r="A41" t="inlineStr">
        <is>
          <t>KRE-3102</t>
        </is>
      </c>
      <c r="B41" t="inlineStr">
        <is>
          <t>Terminal Axial Accent Vision / Kia Rio Xcite</t>
        </is>
      </c>
      <c r="C41" t="inlineStr">
        <is>
          <t>Hyundai/Kia</t>
        </is>
      </c>
      <c r="D41" s="19" t="n">
        <v>2</v>
      </c>
      <c r="E41" s="14" t="n">
        <v>26490</v>
      </c>
      <c r="F41" s="14">
        <f>D41*E41</f>
        <v/>
      </c>
      <c r="G41" s="14" t="n">
        <v>19868</v>
      </c>
      <c r="H41" s="14" t="n">
        <v>31523</v>
      </c>
      <c r="I41" s="14" t="n">
        <v>2522</v>
      </c>
      <c r="J41" s="14" t="n">
        <v>31523</v>
      </c>
      <c r="K41" s="14" t="n"/>
      <c r="L41" s="14" t="n">
        <v>43600</v>
      </c>
      <c r="M41" s="14" t="n">
        <v>63800</v>
      </c>
      <c r="N41" s="14" t="n">
        <v>12077</v>
      </c>
      <c r="O41" s="14" t="n">
        <v>32277</v>
      </c>
      <c r="P41" s="14" t="n">
        <v>87200</v>
      </c>
      <c r="Q41" s="14" t="n">
        <v>127600</v>
      </c>
      <c r="R41" s="14" t="n">
        <v>5044</v>
      </c>
      <c r="S41" s="14" t="n">
        <v>63046</v>
      </c>
      <c r="T41" s="14" t="n">
        <v>24154</v>
      </c>
      <c r="U41" s="14" t="n">
        <v>64554</v>
      </c>
      <c r="V41" s="14">
        <f>ROUND((E41-G41)*D41,0)</f>
        <v/>
      </c>
    </row>
    <row r="42">
      <c r="A42" t="inlineStr">
        <is>
          <t>KSL-2003</t>
        </is>
      </c>
      <c r="B42" t="inlineStr">
        <is>
          <t>Bieleta Estab. Accent Vision / Kia Rio Xcite IZQ</t>
        </is>
      </c>
      <c r="C42" t="inlineStr">
        <is>
          <t>Hyundai/Kia</t>
        </is>
      </c>
      <c r="D42" s="19" t="n">
        <v>2</v>
      </c>
      <c r="E42" s="14" t="n">
        <v>20020</v>
      </c>
      <c r="F42" s="14">
        <f>D42*E42</f>
        <v/>
      </c>
      <c r="G42" s="14" t="n">
        <v>15015</v>
      </c>
      <c r="H42" s="14" t="n">
        <v>23824</v>
      </c>
      <c r="I42" s="14" t="n">
        <v>1906</v>
      </c>
      <c r="J42" s="14" t="n">
        <v>23824</v>
      </c>
      <c r="K42" s="14" t="n"/>
      <c r="L42" s="14" t="n">
        <v>33000</v>
      </c>
      <c r="M42" s="14" t="n">
        <v>48200</v>
      </c>
      <c r="N42" s="14" t="n">
        <v>9176</v>
      </c>
      <c r="O42" s="14" t="n">
        <v>24376</v>
      </c>
      <c r="P42" s="14" t="n">
        <v>66000</v>
      </c>
      <c r="Q42" s="14" t="n">
        <v>96400</v>
      </c>
      <c r="R42" s="14" t="n">
        <v>3812</v>
      </c>
      <c r="S42" s="14" t="n">
        <v>47648</v>
      </c>
      <c r="T42" s="14" t="n">
        <v>18352</v>
      </c>
      <c r="U42" s="14" t="n">
        <v>48752</v>
      </c>
      <c r="V42" s="14">
        <f>ROUND((E42-G42)*D42,0)</f>
        <v/>
      </c>
    </row>
    <row r="43">
      <c r="A43" t="inlineStr">
        <is>
          <t>KSL-2002</t>
        </is>
      </c>
      <c r="B43" t="inlineStr">
        <is>
          <t>Bieleta Estab. Accent Vision / Kia Rio Xcite DER</t>
        </is>
      </c>
      <c r="C43" t="inlineStr">
        <is>
          <t>Hyundai/Kia</t>
        </is>
      </c>
      <c r="D43" s="19" t="n">
        <v>2</v>
      </c>
      <c r="E43" s="14" t="n">
        <v>20020</v>
      </c>
      <c r="F43" s="14">
        <f>D43*E43</f>
        <v/>
      </c>
      <c r="G43" s="14" t="n">
        <v>15015</v>
      </c>
      <c r="H43" s="14" t="n">
        <v>23824</v>
      </c>
      <c r="I43" s="14" t="n">
        <v>1906</v>
      </c>
      <c r="J43" s="14" t="n">
        <v>23824</v>
      </c>
      <c r="K43" s="14" t="n"/>
      <c r="L43" s="14" t="n">
        <v>33000</v>
      </c>
      <c r="M43" s="14" t="n">
        <v>48200</v>
      </c>
      <c r="N43" s="14" t="n">
        <v>9176</v>
      </c>
      <c r="O43" s="14" t="n">
        <v>24376</v>
      </c>
      <c r="P43" s="14" t="n">
        <v>66000</v>
      </c>
      <c r="Q43" s="14" t="n">
        <v>96400</v>
      </c>
      <c r="R43" s="14" t="n">
        <v>3812</v>
      </c>
      <c r="S43" s="14" t="n">
        <v>47648</v>
      </c>
      <c r="T43" s="14" t="n">
        <v>18352</v>
      </c>
      <c r="U43" s="14" t="n">
        <v>48752</v>
      </c>
      <c r="V43" s="14">
        <f>ROUND((E43-G43)*D43,0)</f>
        <v/>
      </c>
    </row>
    <row r="44">
      <c r="A44" t="inlineStr">
        <is>
          <t>KSL-2013</t>
        </is>
      </c>
      <c r="B44" t="inlineStr">
        <is>
          <t>Bieleta Estab. Hyundai i10 Del IZQ / Grand i10 / Elantra / Kia Picanto Morning</t>
        </is>
      </c>
      <c r="C44" t="inlineStr">
        <is>
          <t>Hyundai/Kia</t>
        </is>
      </c>
      <c r="D44" s="19" t="n">
        <v>2</v>
      </c>
      <c r="E44" s="14" t="n">
        <v>18390</v>
      </c>
      <c r="F44" s="14">
        <f>D44*E44</f>
        <v/>
      </c>
      <c r="G44" s="14" t="n">
        <v>13793</v>
      </c>
      <c r="H44" s="14" t="n">
        <v>21884</v>
      </c>
      <c r="I44" s="14" t="n">
        <v>1751</v>
      </c>
      <c r="J44" s="14" t="n">
        <v>21884</v>
      </c>
      <c r="K44" s="14" t="n"/>
      <c r="L44" s="14" t="n">
        <v>30300</v>
      </c>
      <c r="M44" s="14" t="n">
        <v>44300</v>
      </c>
      <c r="N44" s="14" t="n">
        <v>8416</v>
      </c>
      <c r="O44" s="14" t="n">
        <v>22416</v>
      </c>
      <c r="P44" s="14" t="n">
        <v>60600</v>
      </c>
      <c r="Q44" s="14" t="n">
        <v>88600</v>
      </c>
      <c r="R44" s="14" t="n">
        <v>3502</v>
      </c>
      <c r="S44" s="14" t="n">
        <v>43768</v>
      </c>
      <c r="T44" s="14" t="n">
        <v>16832</v>
      </c>
      <c r="U44" s="14" t="n">
        <v>44832</v>
      </c>
      <c r="V44" s="14">
        <f>ROUND((E44-G44)*D44,0)</f>
        <v/>
      </c>
    </row>
    <row r="45">
      <c r="A45" t="inlineStr">
        <is>
          <t>KSA-HY014</t>
        </is>
      </c>
      <c r="B45" t="inlineStr">
        <is>
          <t>Amortiguador Accent Vision / Kia Rio Xcite DEL DER</t>
        </is>
      </c>
      <c r="C45" t="inlineStr">
        <is>
          <t>Hyundai/Kia</t>
        </is>
      </c>
      <c r="D45" s="19" t="n">
        <v>1</v>
      </c>
      <c r="E45" s="14" t="n">
        <v>117260</v>
      </c>
      <c r="F45" s="14">
        <f>D45*E45</f>
        <v/>
      </c>
      <c r="G45" s="14" t="n">
        <v>87945</v>
      </c>
      <c r="H45" s="14" t="n">
        <v>139539</v>
      </c>
      <c r="I45" s="14" t="n">
        <v>11163</v>
      </c>
      <c r="J45" s="14" t="n">
        <v>139539</v>
      </c>
      <c r="K45" s="14" t="n"/>
      <c r="L45" s="14" t="n">
        <v>220700</v>
      </c>
      <c r="M45" s="14" t="n">
        <v>323000</v>
      </c>
      <c r="N45" s="14" t="n">
        <v>81161</v>
      </c>
      <c r="O45" s="14" t="n">
        <v>183461</v>
      </c>
      <c r="P45" s="14" t="n">
        <v>220700</v>
      </c>
      <c r="Q45" s="14" t="n">
        <v>323000</v>
      </c>
      <c r="R45" s="14" t="n">
        <v>11163</v>
      </c>
      <c r="S45" s="14" t="n">
        <v>139539</v>
      </c>
      <c r="T45" s="14" t="n">
        <v>81161</v>
      </c>
      <c r="U45" s="14" t="n">
        <v>183461</v>
      </c>
      <c r="V45" s="14">
        <f>ROUND((E45-G45)*D45,0)</f>
        <v/>
      </c>
    </row>
    <row r="46">
      <c r="A46" t="inlineStr">
        <is>
          <t>KSA-HY015</t>
        </is>
      </c>
      <c r="B46" t="inlineStr">
        <is>
          <t>Amortiguador Accent Vision / Kia Rio Xcite DEL IZQ</t>
        </is>
      </c>
      <c r="C46" t="inlineStr">
        <is>
          <t>Hyundai/Kia</t>
        </is>
      </c>
      <c r="D46" s="19" t="n">
        <v>1</v>
      </c>
      <c r="E46" s="14" t="n">
        <v>117260</v>
      </c>
      <c r="F46" s="14">
        <f>D46*E46</f>
        <v/>
      </c>
      <c r="G46" s="14" t="n">
        <v>87945</v>
      </c>
      <c r="H46" s="14" t="n">
        <v>139539</v>
      </c>
      <c r="I46" s="14" t="n">
        <v>11163</v>
      </c>
      <c r="J46" s="14" t="n">
        <v>139539</v>
      </c>
      <c r="K46" s="14" t="n"/>
      <c r="L46" s="14" t="n">
        <v>220700</v>
      </c>
      <c r="M46" s="14" t="n">
        <v>323000</v>
      </c>
      <c r="N46" s="14" t="n">
        <v>81161</v>
      </c>
      <c r="O46" s="14" t="n">
        <v>183461</v>
      </c>
      <c r="P46" s="14" t="n">
        <v>220700</v>
      </c>
      <c r="Q46" s="14" t="n">
        <v>323000</v>
      </c>
      <c r="R46" s="14" t="n">
        <v>11163</v>
      </c>
      <c r="S46" s="14" t="n">
        <v>139539</v>
      </c>
      <c r="T46" s="14" t="n">
        <v>81161</v>
      </c>
      <c r="U46" s="14" t="n">
        <v>183461</v>
      </c>
      <c r="V46" s="14">
        <f>ROUND((E46-G46)*D46,0)</f>
        <v/>
      </c>
    </row>
    <row r="47">
      <c r="A47" t="inlineStr">
        <is>
          <t>KBJ-4023</t>
        </is>
      </c>
      <c r="B47" t="inlineStr">
        <is>
          <t>Rótula Hyundai i10 EON / Kia Picanto Morning Presión</t>
        </is>
      </c>
      <c r="C47" t="inlineStr">
        <is>
          <t>Hyundai/Kia</t>
        </is>
      </c>
      <c r="D47" s="19" t="n">
        <v>2</v>
      </c>
      <c r="E47" s="14" t="n">
        <v>19980</v>
      </c>
      <c r="F47" s="14">
        <f>D47*E47</f>
        <v/>
      </c>
      <c r="G47" s="14" t="n">
        <v>14985</v>
      </c>
      <c r="H47" s="14" t="n">
        <v>23776</v>
      </c>
      <c r="I47" s="14" t="n">
        <v>1902</v>
      </c>
      <c r="J47" s="14" t="n">
        <v>23776</v>
      </c>
      <c r="K47" s="14" t="n"/>
      <c r="L47" s="14" t="n">
        <v>32900</v>
      </c>
      <c r="M47" s="14" t="n">
        <v>48100</v>
      </c>
      <c r="N47" s="14" t="n">
        <v>9124</v>
      </c>
      <c r="O47" s="14" t="n">
        <v>24324</v>
      </c>
      <c r="P47" s="14" t="n">
        <v>65800</v>
      </c>
      <c r="Q47" s="14" t="n">
        <v>96200</v>
      </c>
      <c r="R47" s="14" t="n">
        <v>3804</v>
      </c>
      <c r="S47" s="14" t="n">
        <v>47552</v>
      </c>
      <c r="T47" s="14" t="n">
        <v>18248</v>
      </c>
      <c r="U47" s="14" t="n">
        <v>48648</v>
      </c>
      <c r="V47" s="14">
        <f>ROUND((E47-G47)*D47,0)</f>
        <v/>
      </c>
    </row>
    <row r="48">
      <c r="A48" t="inlineStr">
        <is>
          <t>KSA-HY016</t>
        </is>
      </c>
      <c r="B48" t="inlineStr">
        <is>
          <t>Amortiguador Accent Vision / Kia Rio Xcite TRAS (x2)</t>
        </is>
      </c>
      <c r="C48" t="inlineStr">
        <is>
          <t>Hyundai/Kia</t>
        </is>
      </c>
      <c r="D48" s="19" t="n">
        <v>2</v>
      </c>
      <c r="E48" s="14" t="n">
        <v>63230</v>
      </c>
      <c r="F48" s="14">
        <f>D48*E48</f>
        <v/>
      </c>
      <c r="G48" s="14" t="n">
        <v>47423</v>
      </c>
      <c r="H48" s="14" t="n">
        <v>75244</v>
      </c>
      <c r="I48" s="14" t="n">
        <v>6020</v>
      </c>
      <c r="J48" s="14" t="n">
        <v>75244</v>
      </c>
      <c r="K48" s="14" t="n"/>
      <c r="L48" s="14" t="n">
        <v>111100</v>
      </c>
      <c r="M48" s="14" t="n">
        <v>162500</v>
      </c>
      <c r="N48" s="14" t="n">
        <v>35856</v>
      </c>
      <c r="O48" s="14" t="n">
        <v>87256</v>
      </c>
      <c r="P48" s="14" t="n">
        <v>222200</v>
      </c>
      <c r="Q48" s="14" t="n">
        <v>325000</v>
      </c>
      <c r="R48" s="14" t="n">
        <v>12040</v>
      </c>
      <c r="S48" s="14" t="n">
        <v>150488</v>
      </c>
      <c r="T48" s="14" t="n">
        <v>71712</v>
      </c>
      <c r="U48" s="14" t="n">
        <v>174512</v>
      </c>
      <c r="V48" s="14">
        <f>ROUND((E48-G48)*D48,0)</f>
        <v/>
      </c>
    </row>
    <row r="49">
      <c r="A49" t="inlineStr">
        <is>
          <t>KSA-KI024</t>
        </is>
      </c>
      <c r="B49" t="inlineStr">
        <is>
          <t>Amortiguador Picanto ION Delantero Der GAS</t>
        </is>
      </c>
      <c r="C49" t="inlineStr">
        <is>
          <t>Kia</t>
        </is>
      </c>
      <c r="D49" s="19" t="n">
        <v>1</v>
      </c>
      <c r="E49" s="14" t="n">
        <v>90640</v>
      </c>
      <c r="F49" s="14">
        <f>D49*E49</f>
        <v/>
      </c>
      <c r="G49" s="14" t="n">
        <v>67980</v>
      </c>
      <c r="H49" s="14" t="n">
        <v>107862</v>
      </c>
      <c r="I49" s="14" t="n">
        <v>8629</v>
      </c>
      <c r="J49" s="14" t="n">
        <v>107862</v>
      </c>
      <c r="K49" s="14" t="n"/>
      <c r="L49" s="14" t="n">
        <v>170600</v>
      </c>
      <c r="M49" s="14" t="n">
        <v>249700</v>
      </c>
      <c r="N49" s="14" t="n">
        <v>62738</v>
      </c>
      <c r="O49" s="14" t="n">
        <v>141838</v>
      </c>
      <c r="P49" s="14" t="n">
        <v>170600</v>
      </c>
      <c r="Q49" s="14" t="n">
        <v>249700</v>
      </c>
      <c r="R49" s="14" t="n">
        <v>8629</v>
      </c>
      <c r="S49" s="14" t="n">
        <v>107862</v>
      </c>
      <c r="T49" s="14" t="n">
        <v>62738</v>
      </c>
      <c r="U49" s="14" t="n">
        <v>141838</v>
      </c>
      <c r="V49" s="14">
        <f>ROUND((E49-G49)*D49,0)</f>
        <v/>
      </c>
    </row>
    <row r="50">
      <c r="A50" t="inlineStr">
        <is>
          <t>KTR-4217</t>
        </is>
      </c>
      <c r="B50" t="inlineStr">
        <is>
          <t>Terminal Dirección Picanto 17-12 ION Xtreme 1.2 IZQ</t>
        </is>
      </c>
      <c r="C50" t="inlineStr">
        <is>
          <t>Kia</t>
        </is>
      </c>
      <c r="D50" s="19" t="n">
        <v>2</v>
      </c>
      <c r="E50" s="14" t="n">
        <v>31280</v>
      </c>
      <c r="F50" s="14">
        <f>D50*E50</f>
        <v/>
      </c>
      <c r="G50" s="14" t="n">
        <v>23460</v>
      </c>
      <c r="H50" s="14" t="n">
        <v>37223</v>
      </c>
      <c r="I50" s="14" t="n">
        <v>2978</v>
      </c>
      <c r="J50" s="14" t="n">
        <v>37223</v>
      </c>
      <c r="K50" s="14" t="n"/>
      <c r="L50" s="14" t="n">
        <v>54900</v>
      </c>
      <c r="M50" s="14" t="n">
        <v>80400</v>
      </c>
      <c r="N50" s="14" t="n">
        <v>17677</v>
      </c>
      <c r="O50" s="14" t="n">
        <v>43177</v>
      </c>
      <c r="P50" s="14" t="n">
        <v>109800</v>
      </c>
      <c r="Q50" s="14" t="n">
        <v>160800</v>
      </c>
      <c r="R50" s="14" t="n">
        <v>5956</v>
      </c>
      <c r="S50" s="14" t="n">
        <v>74446</v>
      </c>
      <c r="T50" s="14" t="n">
        <v>35354</v>
      </c>
      <c r="U50" s="14" t="n">
        <v>86354</v>
      </c>
      <c r="V50" s="14">
        <f>ROUND((E50-G50)*D50,0)</f>
        <v/>
      </c>
    </row>
    <row r="51">
      <c r="A51" t="inlineStr">
        <is>
          <t>KTR-4223</t>
        </is>
      </c>
      <c r="B51" t="inlineStr">
        <is>
          <t>Terminal Dirección Picanto 20-18 ION IZQ</t>
        </is>
      </c>
      <c r="C51" t="inlineStr">
        <is>
          <t>Kia</t>
        </is>
      </c>
      <c r="D51" s="19" t="n">
        <v>2</v>
      </c>
      <c r="E51" s="14" t="n">
        <v>28470</v>
      </c>
      <c r="F51" s="14">
        <f>D51*E51</f>
        <v/>
      </c>
      <c r="G51" s="14" t="n">
        <v>21353</v>
      </c>
      <c r="H51" s="14" t="n">
        <v>33879</v>
      </c>
      <c r="I51" s="14" t="n">
        <v>2710</v>
      </c>
      <c r="J51" s="14" t="n">
        <v>33879</v>
      </c>
      <c r="K51" s="14" t="n"/>
      <c r="L51" s="14" t="n">
        <v>46900</v>
      </c>
      <c r="M51" s="14" t="n">
        <v>68600</v>
      </c>
      <c r="N51" s="14" t="n">
        <v>13021</v>
      </c>
      <c r="O51" s="14" t="n">
        <v>34721</v>
      </c>
      <c r="P51" s="14" t="n">
        <v>93800</v>
      </c>
      <c r="Q51" s="14" t="n">
        <v>137200</v>
      </c>
      <c r="R51" s="14" t="n">
        <v>5420</v>
      </c>
      <c r="S51" s="14" t="n">
        <v>67758</v>
      </c>
      <c r="T51" s="14" t="n">
        <v>26042</v>
      </c>
      <c r="U51" s="14" t="n">
        <v>69442</v>
      </c>
      <c r="V51" s="14">
        <f>ROUND((E51-G51)*D51,0)</f>
        <v/>
      </c>
    </row>
    <row r="52">
      <c r="A52" t="inlineStr">
        <is>
          <t>KTR-4222</t>
        </is>
      </c>
      <c r="B52" t="inlineStr">
        <is>
          <t>Terminal Dir Kia Picanto 20-18 ION DER</t>
        </is>
      </c>
      <c r="C52" t="inlineStr">
        <is>
          <t>Kia</t>
        </is>
      </c>
      <c r="D52" s="19" t="n">
        <v>2</v>
      </c>
      <c r="E52" s="14" t="n">
        <v>28470</v>
      </c>
      <c r="F52" s="14">
        <f>D52*E52</f>
        <v/>
      </c>
      <c r="G52" s="14" t="n">
        <v>21353</v>
      </c>
      <c r="H52" s="14" t="n">
        <v>33879</v>
      </c>
      <c r="I52" s="14" t="n">
        <v>2710</v>
      </c>
      <c r="J52" s="14" t="n">
        <v>33879</v>
      </c>
      <c r="K52" s="14" t="n"/>
      <c r="L52" s="14" t="n">
        <v>46900</v>
      </c>
      <c r="M52" s="14" t="n">
        <v>68600</v>
      </c>
      <c r="N52" s="14" t="n">
        <v>13021</v>
      </c>
      <c r="O52" s="14" t="n">
        <v>34721</v>
      </c>
      <c r="P52" s="14" t="n">
        <v>93800</v>
      </c>
      <c r="Q52" s="14" t="n">
        <v>137200</v>
      </c>
      <c r="R52" s="14" t="n">
        <v>5420</v>
      </c>
      <c r="S52" s="14" t="n">
        <v>67758</v>
      </c>
      <c r="T52" s="14" t="n">
        <v>26042</v>
      </c>
      <c r="U52" s="14" t="n">
        <v>69442</v>
      </c>
      <c r="V52" s="14">
        <f>ROUND((E52-G52)*D52,0)</f>
        <v/>
      </c>
    </row>
    <row r="53">
      <c r="A53" t="inlineStr">
        <is>
          <t>KSA-KI025</t>
        </is>
      </c>
      <c r="B53" t="inlineStr">
        <is>
          <t>Amortiguador Kia Picanto 17-13 ION Del IZQ GAS</t>
        </is>
      </c>
      <c r="C53" t="inlineStr">
        <is>
          <t>Kia</t>
        </is>
      </c>
      <c r="D53" s="19" t="n">
        <v>1</v>
      </c>
      <c r="E53" s="14" t="n">
        <v>90640</v>
      </c>
      <c r="F53" s="14">
        <f>D53*E53</f>
        <v/>
      </c>
      <c r="G53" s="14" t="n">
        <v>67980</v>
      </c>
      <c r="H53" s="14" t="n">
        <v>107862</v>
      </c>
      <c r="I53" s="14" t="n">
        <v>8629</v>
      </c>
      <c r="J53" s="14" t="n">
        <v>107862</v>
      </c>
      <c r="K53" s="14" t="n"/>
      <c r="L53" s="14" t="n">
        <v>170600</v>
      </c>
      <c r="M53" s="14" t="n">
        <v>249700</v>
      </c>
      <c r="N53" s="14" t="n">
        <v>62738</v>
      </c>
      <c r="O53" s="14" t="n">
        <v>141838</v>
      </c>
      <c r="P53" s="14" t="n">
        <v>170600</v>
      </c>
      <c r="Q53" s="14" t="n">
        <v>249700</v>
      </c>
      <c r="R53" s="14" t="n">
        <v>8629</v>
      </c>
      <c r="S53" s="14" t="n">
        <v>107862</v>
      </c>
      <c r="T53" s="14" t="n">
        <v>62738</v>
      </c>
      <c r="U53" s="14" t="n">
        <v>141838</v>
      </c>
      <c r="V53" s="14">
        <f>ROUND((E53-G53)*D53,0)</f>
        <v/>
      </c>
    </row>
    <row r="54">
      <c r="A54" t="inlineStr">
        <is>
          <t>KRE-3114</t>
        </is>
      </c>
      <c r="B54" t="inlineStr">
        <is>
          <t>Terminal Axial Kia Picanto ION / Hyundai i10 Hidráulico</t>
        </is>
      </c>
      <c r="C54" t="inlineStr">
        <is>
          <t>Kia/Hyundai</t>
        </is>
      </c>
      <c r="D54" s="19" t="n">
        <v>2</v>
      </c>
      <c r="E54" s="14" t="n">
        <v>22040</v>
      </c>
      <c r="F54" s="14">
        <f>D54*E54</f>
        <v/>
      </c>
      <c r="G54" s="14" t="n">
        <v>16530</v>
      </c>
      <c r="H54" s="14" t="n">
        <v>26228</v>
      </c>
      <c r="I54" s="14" t="n">
        <v>2098</v>
      </c>
      <c r="J54" s="14" t="n">
        <v>26228</v>
      </c>
      <c r="K54" s="14" t="n"/>
      <c r="L54" s="14" t="n">
        <v>36300</v>
      </c>
      <c r="M54" s="14" t="n">
        <v>53100</v>
      </c>
      <c r="N54" s="14" t="n">
        <v>10072</v>
      </c>
      <c r="O54" s="14" t="n">
        <v>26872</v>
      </c>
      <c r="P54" s="14" t="n">
        <v>72600</v>
      </c>
      <c r="Q54" s="14" t="n">
        <v>106200</v>
      </c>
      <c r="R54" s="14" t="n">
        <v>4196</v>
      </c>
      <c r="S54" s="14" t="n">
        <v>52456</v>
      </c>
      <c r="T54" s="14" t="n">
        <v>20144</v>
      </c>
      <c r="U54" s="14" t="n">
        <v>53744</v>
      </c>
      <c r="V54" s="14">
        <f>ROUND((E54-G54)*D54,0)</f>
        <v/>
      </c>
    </row>
    <row r="55">
      <c r="A55" t="inlineStr">
        <is>
          <t>KBJ-4030</t>
        </is>
      </c>
      <c r="B55" t="inlineStr">
        <is>
          <t>Rótula Kia Picanto ION-Spice 1 Soul / Hyundai i10 Grand Presión</t>
        </is>
      </c>
      <c r="C55" t="inlineStr">
        <is>
          <t>Kia/Hyundai</t>
        </is>
      </c>
      <c r="D55" s="19" t="n">
        <v>2</v>
      </c>
      <c r="E55" s="14" t="n">
        <v>19840</v>
      </c>
      <c r="F55" s="14">
        <f>D55*E55</f>
        <v/>
      </c>
      <c r="G55" s="14" t="n">
        <v>14880</v>
      </c>
      <c r="H55" s="14" t="n">
        <v>23610</v>
      </c>
      <c r="I55" s="14" t="n">
        <v>1889</v>
      </c>
      <c r="J55" s="14" t="n">
        <v>23610</v>
      </c>
      <c r="K55" s="14" t="n"/>
      <c r="L55" s="14" t="n">
        <v>32700</v>
      </c>
      <c r="M55" s="14" t="n">
        <v>47800</v>
      </c>
      <c r="N55" s="14" t="n">
        <v>9090</v>
      </c>
      <c r="O55" s="14" t="n">
        <v>24190</v>
      </c>
      <c r="P55" s="14" t="n">
        <v>65400</v>
      </c>
      <c r="Q55" s="14" t="n">
        <v>95600</v>
      </c>
      <c r="R55" s="14" t="n">
        <v>3778</v>
      </c>
      <c r="S55" s="14" t="n">
        <v>47220</v>
      </c>
      <c r="T55" s="14" t="n">
        <v>18180</v>
      </c>
      <c r="U55" s="14" t="n">
        <v>48380</v>
      </c>
      <c r="V55" s="14">
        <f>ROUND((E55-G55)*D55,0)</f>
        <v/>
      </c>
    </row>
    <row r="56">
      <c r="A56" t="inlineStr">
        <is>
          <t>KBJ-4042</t>
        </is>
      </c>
      <c r="B56" t="inlineStr">
        <is>
          <t>Rótula BT-50 4x2 4x4 SUP Gasol B2000-2200 SUP</t>
        </is>
      </c>
      <c r="C56" t="inlineStr">
        <is>
          <t>Mazda</t>
        </is>
      </c>
      <c r="D56" s="19" t="n">
        <v>2</v>
      </c>
      <c r="E56" s="14" t="n">
        <v>26360</v>
      </c>
      <c r="F56" s="14">
        <f>D56*E56</f>
        <v/>
      </c>
      <c r="G56" s="14" t="n">
        <v>19770</v>
      </c>
      <c r="H56" s="14" t="n">
        <v>31368</v>
      </c>
      <c r="I56" s="14" t="n">
        <v>2509</v>
      </c>
      <c r="J56" s="14" t="n">
        <v>31368</v>
      </c>
      <c r="K56" s="14" t="n"/>
      <c r="L56" s="14" t="n">
        <v>43400</v>
      </c>
      <c r="M56" s="14" t="n">
        <v>63500</v>
      </c>
      <c r="N56" s="14" t="n">
        <v>12032</v>
      </c>
      <c r="O56" s="14" t="n">
        <v>32132</v>
      </c>
      <c r="P56" s="14" t="n">
        <v>86800</v>
      </c>
      <c r="Q56" s="14" t="n">
        <v>127000</v>
      </c>
      <c r="R56" s="14" t="n">
        <v>5018</v>
      </c>
      <c r="S56" s="14" t="n">
        <v>62736</v>
      </c>
      <c r="T56" s="14" t="n">
        <v>24064</v>
      </c>
      <c r="U56" s="14" t="n">
        <v>64264</v>
      </c>
      <c r="V56" s="14">
        <f>ROUND((E56-G56)*D56,0)</f>
        <v/>
      </c>
    </row>
    <row r="57">
      <c r="A57" t="inlineStr">
        <is>
          <t>KTR-4302</t>
        </is>
      </c>
      <c r="B57" t="inlineStr">
        <is>
          <t>Terminal Dirección Mazda 2 15-08 IZQ</t>
        </is>
      </c>
      <c r="C57" t="inlineStr">
        <is>
          <t>Mazda</t>
        </is>
      </c>
      <c r="D57" s="19" t="n">
        <v>2</v>
      </c>
      <c r="E57" s="14" t="n">
        <v>35110</v>
      </c>
      <c r="F57" s="14">
        <f>D57*E57</f>
        <v/>
      </c>
      <c r="G57" s="14" t="n">
        <v>26333</v>
      </c>
      <c r="H57" s="14" t="n">
        <v>41781</v>
      </c>
      <c r="I57" s="14" t="n">
        <v>3342</v>
      </c>
      <c r="J57" s="14" t="n">
        <v>41781</v>
      </c>
      <c r="K57" s="14" t="n"/>
      <c r="L57" s="14" t="n">
        <v>61700</v>
      </c>
      <c r="M57" s="14" t="n">
        <v>90200</v>
      </c>
      <c r="N57" s="14" t="n">
        <v>19919</v>
      </c>
      <c r="O57" s="14" t="n">
        <v>48419</v>
      </c>
      <c r="P57" s="14" t="n">
        <v>123400</v>
      </c>
      <c r="Q57" s="14" t="n">
        <v>180400</v>
      </c>
      <c r="R57" s="14" t="n">
        <v>6684</v>
      </c>
      <c r="S57" s="14" t="n">
        <v>83562</v>
      </c>
      <c r="T57" s="14" t="n">
        <v>39838</v>
      </c>
      <c r="U57" s="14" t="n">
        <v>96838</v>
      </c>
      <c r="V57" s="14">
        <f>ROUND((E57-G57)*D57,0)</f>
        <v/>
      </c>
    </row>
    <row r="58">
      <c r="A58" t="inlineStr">
        <is>
          <t>KBJ-4033</t>
        </is>
      </c>
      <c r="B58" t="inlineStr">
        <is>
          <t>ROTULA MAZDA 3 BK3P-34-300</t>
        </is>
      </c>
      <c r="C58" t="inlineStr">
        <is>
          <t>Mazda</t>
        </is>
      </c>
      <c r="D58" s="19" t="n">
        <v>2</v>
      </c>
      <c r="E58" s="14" t="n">
        <v>24990</v>
      </c>
      <c r="F58" s="14">
        <f>D58*E58</f>
        <v/>
      </c>
      <c r="G58" s="14" t="n">
        <v>18743</v>
      </c>
      <c r="H58" s="14" t="n">
        <v>29738</v>
      </c>
      <c r="I58" s="14" t="n">
        <v>2379</v>
      </c>
      <c r="J58" s="14" t="n">
        <v>29738</v>
      </c>
      <c r="K58" s="14" t="n"/>
      <c r="L58" s="14" t="n">
        <v>41100</v>
      </c>
      <c r="M58" s="14" t="n">
        <v>60200</v>
      </c>
      <c r="N58" s="14" t="n">
        <v>11362</v>
      </c>
      <c r="O58" s="14" t="n">
        <v>30462</v>
      </c>
      <c r="P58" s="14" t="n">
        <v>82200</v>
      </c>
      <c r="Q58" s="14" t="n">
        <v>120400</v>
      </c>
      <c r="R58" s="14" t="n">
        <v>4758</v>
      </c>
      <c r="S58" s="14" t="n">
        <v>59476</v>
      </c>
      <c r="T58" s="14" t="n">
        <v>22724</v>
      </c>
      <c r="U58" s="14" t="n">
        <v>60924</v>
      </c>
      <c r="V58" s="14">
        <f>ROUND((E58-G58)*D58,0)</f>
        <v/>
      </c>
    </row>
    <row r="59">
      <c r="A59" t="inlineStr">
        <is>
          <t>KTR-4301</t>
        </is>
      </c>
      <c r="B59" t="inlineStr">
        <is>
          <t>Terminal Dir Mazda 2 15-08 DER</t>
        </is>
      </c>
      <c r="C59" t="inlineStr">
        <is>
          <t>Mazda</t>
        </is>
      </c>
      <c r="D59" s="19" t="n">
        <v>2</v>
      </c>
      <c r="E59" s="14" t="n">
        <v>33700</v>
      </c>
      <c r="F59" s="14">
        <f>D59*E59</f>
        <v/>
      </c>
      <c r="G59" s="14" t="n">
        <v>25275</v>
      </c>
      <c r="H59" s="14" t="n">
        <v>40103</v>
      </c>
      <c r="I59" s="14" t="n">
        <v>3208</v>
      </c>
      <c r="J59" s="14" t="n">
        <v>40103</v>
      </c>
      <c r="K59" s="14" t="n"/>
      <c r="L59" s="14" t="n">
        <v>59200</v>
      </c>
      <c r="M59" s="14" t="n">
        <v>86600</v>
      </c>
      <c r="N59" s="14" t="n">
        <v>19097</v>
      </c>
      <c r="O59" s="14" t="n">
        <v>46497</v>
      </c>
      <c r="P59" s="14" t="n">
        <v>118400</v>
      </c>
      <c r="Q59" s="14" t="n">
        <v>173200</v>
      </c>
      <c r="R59" s="14" t="n">
        <v>6416</v>
      </c>
      <c r="S59" s="14" t="n">
        <v>80206</v>
      </c>
      <c r="T59" s="14" t="n">
        <v>38194</v>
      </c>
      <c r="U59" s="14" t="n">
        <v>92994</v>
      </c>
      <c r="V59" s="14">
        <f>ROUND((E59-G59)*D59,0)</f>
        <v/>
      </c>
    </row>
    <row r="60">
      <c r="A60" t="inlineStr">
        <is>
          <t>KSL-2108</t>
        </is>
      </c>
      <c r="B60" t="inlineStr">
        <is>
          <t>Bieleta Estab. Mazda 3 13-03 DEL</t>
        </is>
      </c>
      <c r="C60" t="inlineStr">
        <is>
          <t>Mazda</t>
        </is>
      </c>
      <c r="D60" s="19" t="n">
        <v>2</v>
      </c>
      <c r="E60" s="14" t="n">
        <v>20150</v>
      </c>
      <c r="F60" s="14">
        <f>D60*E60</f>
        <v/>
      </c>
      <c r="G60" s="14" t="n">
        <v>15113</v>
      </c>
      <c r="H60" s="14" t="n">
        <v>23978</v>
      </c>
      <c r="I60" s="14" t="n">
        <v>1918</v>
      </c>
      <c r="J60" s="14" t="n">
        <v>23978</v>
      </c>
      <c r="K60" s="14" t="n"/>
      <c r="L60" s="14" t="n">
        <v>33200</v>
      </c>
      <c r="M60" s="14" t="n">
        <v>48500</v>
      </c>
      <c r="N60" s="14" t="n">
        <v>9222</v>
      </c>
      <c r="O60" s="14" t="n">
        <v>24522</v>
      </c>
      <c r="P60" s="14" t="n">
        <v>66400</v>
      </c>
      <c r="Q60" s="14" t="n">
        <v>97000</v>
      </c>
      <c r="R60" s="14" t="n">
        <v>3836</v>
      </c>
      <c r="S60" s="14" t="n">
        <v>47956</v>
      </c>
      <c r="T60" s="14" t="n">
        <v>18444</v>
      </c>
      <c r="U60" s="14" t="n">
        <v>49044</v>
      </c>
      <c r="V60" s="14">
        <f>ROUND((E60-G60)*D60,0)</f>
        <v/>
      </c>
    </row>
    <row r="61">
      <c r="A61" t="inlineStr">
        <is>
          <t>KSL-2103</t>
        </is>
      </c>
      <c r="B61" t="inlineStr">
        <is>
          <t>Bieleta Estab. Mazda 2 22-08 Skyactive / CX30-CX3 Skyactive Del</t>
        </is>
      </c>
      <c r="C61" t="inlineStr">
        <is>
          <t>Mazda</t>
        </is>
      </c>
      <c r="D61" s="19" t="n">
        <v>2</v>
      </c>
      <c r="E61" s="14" t="n">
        <v>21380</v>
      </c>
      <c r="F61" s="14">
        <f>D61*E61</f>
        <v/>
      </c>
      <c r="G61" s="14" t="n">
        <v>16035</v>
      </c>
      <c r="H61" s="14" t="n">
        <v>25442</v>
      </c>
      <c r="I61" s="14" t="n">
        <v>2035</v>
      </c>
      <c r="J61" s="14" t="n">
        <v>25442</v>
      </c>
      <c r="K61" s="14" t="n"/>
      <c r="L61" s="14" t="n">
        <v>35200</v>
      </c>
      <c r="M61" s="14" t="n">
        <v>51500</v>
      </c>
      <c r="N61" s="14" t="n">
        <v>9758</v>
      </c>
      <c r="O61" s="14" t="n">
        <v>26058</v>
      </c>
      <c r="P61" s="14" t="n">
        <v>70400</v>
      </c>
      <c r="Q61" s="14" t="n">
        <v>103000</v>
      </c>
      <c r="R61" s="14" t="n">
        <v>4070</v>
      </c>
      <c r="S61" s="14" t="n">
        <v>50884</v>
      </c>
      <c r="T61" s="14" t="n">
        <v>19516</v>
      </c>
      <c r="U61" s="14" t="n">
        <v>52116</v>
      </c>
      <c r="V61" s="14">
        <f>ROUND((E61-G61)*D61,0)</f>
        <v/>
      </c>
    </row>
    <row r="62">
      <c r="A62" t="inlineStr">
        <is>
          <t>KRE-3202</t>
        </is>
      </c>
      <c r="B62" t="inlineStr">
        <is>
          <t>Terminal Axial Mazda 3 10-02</t>
        </is>
      </c>
      <c r="C62" t="inlineStr">
        <is>
          <t>Mazda</t>
        </is>
      </c>
      <c r="D62" s="19" t="n">
        <v>2</v>
      </c>
      <c r="E62" s="14" t="n">
        <v>25430</v>
      </c>
      <c r="F62" s="14">
        <f>D62*E62</f>
        <v/>
      </c>
      <c r="G62" s="14" t="n">
        <v>19073</v>
      </c>
      <c r="H62" s="14" t="n">
        <v>30262</v>
      </c>
      <c r="I62" s="14" t="n">
        <v>2421</v>
      </c>
      <c r="J62" s="14" t="n">
        <v>30262</v>
      </c>
      <c r="K62" s="14" t="n"/>
      <c r="L62" s="14" t="n">
        <v>41900</v>
      </c>
      <c r="M62" s="14" t="n">
        <v>61300</v>
      </c>
      <c r="N62" s="14" t="n">
        <v>11638</v>
      </c>
      <c r="O62" s="14" t="n">
        <v>31038</v>
      </c>
      <c r="P62" s="14" t="n">
        <v>83800</v>
      </c>
      <c r="Q62" s="14" t="n">
        <v>122600</v>
      </c>
      <c r="R62" s="14" t="n">
        <v>4842</v>
      </c>
      <c r="S62" s="14" t="n">
        <v>60524</v>
      </c>
      <c r="T62" s="14" t="n">
        <v>23276</v>
      </c>
      <c r="U62" s="14" t="n">
        <v>62076</v>
      </c>
      <c r="V62" s="14">
        <f>ROUND((E62-G62)*D62,0)</f>
        <v/>
      </c>
    </row>
    <row r="63">
      <c r="A63" t="inlineStr">
        <is>
          <t>KTR-4304</t>
        </is>
      </c>
      <c r="B63" t="inlineStr">
        <is>
          <t>Terminal Dir Mazda 3 14-03 DER</t>
        </is>
      </c>
      <c r="C63" t="inlineStr">
        <is>
          <t>Mazda</t>
        </is>
      </c>
      <c r="D63" s="19" t="n">
        <v>2</v>
      </c>
      <c r="E63" s="14" t="n">
        <v>23540</v>
      </c>
      <c r="F63" s="14">
        <f>D63*E63</f>
        <v/>
      </c>
      <c r="G63" s="14" t="n">
        <v>17655</v>
      </c>
      <c r="H63" s="14" t="n">
        <v>28013</v>
      </c>
      <c r="I63" s="14" t="n">
        <v>2241</v>
      </c>
      <c r="J63" s="14" t="n">
        <v>28013</v>
      </c>
      <c r="K63" s="14" t="n"/>
      <c r="L63" s="14" t="n">
        <v>38800</v>
      </c>
      <c r="M63" s="14" t="n">
        <v>56700</v>
      </c>
      <c r="N63" s="14" t="n">
        <v>10787</v>
      </c>
      <c r="O63" s="14" t="n">
        <v>28687</v>
      </c>
      <c r="P63" s="14" t="n">
        <v>77600</v>
      </c>
      <c r="Q63" s="14" t="n">
        <v>113400</v>
      </c>
      <c r="R63" s="14" t="n">
        <v>4482</v>
      </c>
      <c r="S63" s="14" t="n">
        <v>56026</v>
      </c>
      <c r="T63" s="14" t="n">
        <v>21574</v>
      </c>
      <c r="U63" s="14" t="n">
        <v>57374</v>
      </c>
      <c r="V63" s="14">
        <f>ROUND((E63-G63)*D63,0)</f>
        <v/>
      </c>
    </row>
    <row r="64">
      <c r="A64" t="inlineStr">
        <is>
          <t>KTR-4303</t>
        </is>
      </c>
      <c r="B64" t="inlineStr">
        <is>
          <t>Terminal Dir Mazda 3 14-03 IZQ</t>
        </is>
      </c>
      <c r="C64" t="inlineStr">
        <is>
          <t>Mazda</t>
        </is>
      </c>
      <c r="D64" s="19" t="n">
        <v>2</v>
      </c>
      <c r="E64" s="14" t="n">
        <v>23540</v>
      </c>
      <c r="F64" s="14">
        <f>D64*E64</f>
        <v/>
      </c>
      <c r="G64" s="14" t="n">
        <v>17655</v>
      </c>
      <c r="H64" s="14" t="n">
        <v>28013</v>
      </c>
      <c r="I64" s="14" t="n">
        <v>2241</v>
      </c>
      <c r="J64" s="14" t="n">
        <v>28013</v>
      </c>
      <c r="K64" s="14" t="n"/>
      <c r="L64" s="14" t="n">
        <v>38800</v>
      </c>
      <c r="M64" s="14" t="n">
        <v>56700</v>
      </c>
      <c r="N64" s="14" t="n">
        <v>10787</v>
      </c>
      <c r="O64" s="14" t="n">
        <v>28687</v>
      </c>
      <c r="P64" s="14" t="n">
        <v>77600</v>
      </c>
      <c r="Q64" s="14" t="n">
        <v>113400</v>
      </c>
      <c r="R64" s="14" t="n">
        <v>4482</v>
      </c>
      <c r="S64" s="14" t="n">
        <v>56026</v>
      </c>
      <c r="T64" s="14" t="n">
        <v>21574</v>
      </c>
      <c r="U64" s="14" t="n">
        <v>57374</v>
      </c>
      <c r="V64" s="14">
        <f>ROUND((E64-G64)*D64,0)</f>
        <v/>
      </c>
    </row>
    <row r="65">
      <c r="A65" t="inlineStr">
        <is>
          <t>KSA-MA001</t>
        </is>
      </c>
      <c r="B65" t="inlineStr">
        <is>
          <t xml:space="preserve">Amortiguador Mazda 2 13-08 Del DER GAS </t>
        </is>
      </c>
      <c r="C65" t="inlineStr">
        <is>
          <t>Mazda 2</t>
        </is>
      </c>
      <c r="D65" s="19" t="n">
        <v>1</v>
      </c>
      <c r="E65" s="14" t="n">
        <v>119330</v>
      </c>
      <c r="F65" s="14">
        <f>D65*E65</f>
        <v/>
      </c>
      <c r="G65" s="14" t="n">
        <v>89498</v>
      </c>
      <c r="H65" s="14" t="n">
        <v>142003</v>
      </c>
      <c r="I65" s="14" t="n">
        <v>11360</v>
      </c>
      <c r="J65" s="14" t="n">
        <v>142003</v>
      </c>
      <c r="K65" s="14" t="n"/>
      <c r="L65" s="14" t="n">
        <v>224600</v>
      </c>
      <c r="M65" s="14" t="n">
        <v>328700</v>
      </c>
      <c r="N65" s="14" t="n">
        <v>82597</v>
      </c>
      <c r="O65" s="14" t="n">
        <v>186697</v>
      </c>
      <c r="P65" s="14" t="n">
        <v>224600</v>
      </c>
      <c r="Q65" s="14" t="n">
        <v>328700</v>
      </c>
      <c r="R65" s="14" t="n">
        <v>11360</v>
      </c>
      <c r="S65" s="14" t="n">
        <v>142003</v>
      </c>
      <c r="T65" s="14" t="n">
        <v>82597</v>
      </c>
      <c r="U65" s="14" t="n">
        <v>186697</v>
      </c>
      <c r="V65" s="14">
        <f>ROUND((E65-G65)*D65,0)</f>
        <v/>
      </c>
    </row>
    <row r="66">
      <c r="A66" t="inlineStr">
        <is>
          <t>KSA-MA002</t>
        </is>
      </c>
      <c r="B66" t="inlineStr">
        <is>
          <t xml:space="preserve">Amortiguador Mazda 2 13-08 Del IZQ GAS </t>
        </is>
      </c>
      <c r="C66" t="inlineStr">
        <is>
          <t>Mazda 2</t>
        </is>
      </c>
      <c r="D66" s="19" t="n">
        <v>1</v>
      </c>
      <c r="E66" s="14" t="n">
        <v>119330</v>
      </c>
      <c r="F66" s="14">
        <f>D66*E66</f>
        <v/>
      </c>
      <c r="G66" s="14" t="n">
        <v>89498</v>
      </c>
      <c r="H66" s="14" t="n">
        <v>142003</v>
      </c>
      <c r="I66" s="14" t="n">
        <v>11360</v>
      </c>
      <c r="J66" s="14" t="n">
        <v>142003</v>
      </c>
      <c r="K66" s="14" t="n"/>
      <c r="L66" s="14" t="n">
        <v>224600</v>
      </c>
      <c r="M66" s="14" t="n">
        <v>328700</v>
      </c>
      <c r="N66" s="14" t="n">
        <v>82597</v>
      </c>
      <c r="O66" s="14" t="n">
        <v>186697</v>
      </c>
      <c r="P66" s="14" t="n">
        <v>224600</v>
      </c>
      <c r="Q66" s="14" t="n">
        <v>328700</v>
      </c>
      <c r="R66" s="14" t="n">
        <v>11360</v>
      </c>
      <c r="S66" s="14" t="n">
        <v>142003</v>
      </c>
      <c r="T66" s="14" t="n">
        <v>82597</v>
      </c>
      <c r="U66" s="14" t="n">
        <v>186697</v>
      </c>
      <c r="V66" s="14">
        <f>ROUND((E66-G66)*D66,0)</f>
        <v/>
      </c>
    </row>
    <row r="67">
      <c r="A67" t="inlineStr">
        <is>
          <t>KBJ-4085</t>
        </is>
      </c>
      <c r="B67" t="inlineStr">
        <is>
          <t>Rótula Mazda 2 15-08 Skyactive 19-16 / Ford Fiesta 17-11</t>
        </is>
      </c>
      <c r="C67" t="inlineStr">
        <is>
          <t>Mazda/Ford</t>
        </is>
      </c>
      <c r="D67" s="19" t="n">
        <v>2</v>
      </c>
      <c r="E67" s="14" t="n">
        <v>24820</v>
      </c>
      <c r="F67" s="14">
        <f>D67*E67</f>
        <v/>
      </c>
      <c r="G67" s="14" t="n">
        <v>18615</v>
      </c>
      <c r="H67" s="14" t="n">
        <v>29536</v>
      </c>
      <c r="I67" s="14" t="n">
        <v>2363</v>
      </c>
      <c r="J67" s="14" t="n">
        <v>29536</v>
      </c>
      <c r="K67" s="14" t="n"/>
      <c r="L67" s="14" t="n">
        <v>40900</v>
      </c>
      <c r="M67" s="14" t="n">
        <v>59800</v>
      </c>
      <c r="N67" s="14" t="n">
        <v>11364</v>
      </c>
      <c r="O67" s="14" t="n">
        <v>30264</v>
      </c>
      <c r="P67" s="14" t="n">
        <v>81800</v>
      </c>
      <c r="Q67" s="14" t="n">
        <v>119600</v>
      </c>
      <c r="R67" s="14" t="n">
        <v>4726</v>
      </c>
      <c r="S67" s="14" t="n">
        <v>59072</v>
      </c>
      <c r="T67" s="14" t="n">
        <v>22728</v>
      </c>
      <c r="U67" s="14" t="n">
        <v>60528</v>
      </c>
      <c r="V67" s="14">
        <f>ROUND((E67-G67)*D67,0)</f>
        <v/>
      </c>
    </row>
    <row r="68">
      <c r="A68" t="inlineStr">
        <is>
          <t>KBJ-4043</t>
        </is>
      </c>
      <c r="B68" t="inlineStr">
        <is>
          <t>Rótula BT-50 4x4 INF Cono 19.5mm / Ford Ranger 4x4 INF</t>
        </is>
      </c>
      <c r="C68" t="inlineStr">
        <is>
          <t>Mazda/Ford</t>
        </is>
      </c>
      <c r="D68" s="19" t="n">
        <v>2</v>
      </c>
      <c r="E68" s="14" t="n">
        <v>38590</v>
      </c>
      <c r="F68" s="14">
        <f>D68*E68</f>
        <v/>
      </c>
      <c r="G68" s="14" t="n">
        <v>28943</v>
      </c>
      <c r="H68" s="14" t="n">
        <v>45922</v>
      </c>
      <c r="I68" s="14" t="n">
        <v>3674</v>
      </c>
      <c r="J68" s="14" t="n">
        <v>45922</v>
      </c>
      <c r="K68" s="14" t="n"/>
      <c r="L68" s="14" t="n">
        <v>67800</v>
      </c>
      <c r="M68" s="14" t="n">
        <v>99200</v>
      </c>
      <c r="N68" s="14" t="n">
        <v>21878</v>
      </c>
      <c r="O68" s="14" t="n">
        <v>53278</v>
      </c>
      <c r="P68" s="14" t="n">
        <v>135600</v>
      </c>
      <c r="Q68" s="14" t="n">
        <v>198400</v>
      </c>
      <c r="R68" s="14" t="n">
        <v>7348</v>
      </c>
      <c r="S68" s="14" t="n">
        <v>91844</v>
      </c>
      <c r="T68" s="14" t="n">
        <v>43756</v>
      </c>
      <c r="U68" s="14" t="n">
        <v>106556</v>
      </c>
      <c r="V68" s="14">
        <f>ROUND((E68-G68)*D68,0)</f>
        <v/>
      </c>
    </row>
    <row r="69">
      <c r="A69" t="inlineStr">
        <is>
          <t>KTR-4308</t>
        </is>
      </c>
      <c r="B69" t="inlineStr">
        <is>
          <t>Terminal Dirección M6 / Ford Edge-Fusion DER</t>
        </is>
      </c>
      <c r="C69" t="inlineStr">
        <is>
          <t>Mazda/Ford</t>
        </is>
      </c>
      <c r="D69" s="19" t="n">
        <v>2</v>
      </c>
      <c r="E69" s="14" t="n">
        <v>35680</v>
      </c>
      <c r="F69" s="14">
        <f>D69*E69</f>
        <v/>
      </c>
      <c r="G69" s="14" t="n">
        <v>26760</v>
      </c>
      <c r="H69" s="14" t="n">
        <v>42459</v>
      </c>
      <c r="I69" s="14" t="n">
        <v>3397</v>
      </c>
      <c r="J69" s="14" t="n">
        <v>42459</v>
      </c>
      <c r="K69" s="14" t="n"/>
      <c r="L69" s="14" t="n">
        <v>62700</v>
      </c>
      <c r="M69" s="14" t="n">
        <v>91700</v>
      </c>
      <c r="N69" s="14" t="n">
        <v>20241</v>
      </c>
      <c r="O69" s="14" t="n">
        <v>49241</v>
      </c>
      <c r="P69" s="14" t="n">
        <v>125400</v>
      </c>
      <c r="Q69" s="14" t="n">
        <v>183400</v>
      </c>
      <c r="R69" s="14" t="n">
        <v>6794</v>
      </c>
      <c r="S69" s="14" t="n">
        <v>84918</v>
      </c>
      <c r="T69" s="14" t="n">
        <v>40482</v>
      </c>
      <c r="U69" s="14" t="n">
        <v>98482</v>
      </c>
      <c r="V69" s="14">
        <f>ROUND((E69-G69)*D69,0)</f>
        <v/>
      </c>
    </row>
    <row r="70">
      <c r="A70" t="inlineStr">
        <is>
          <t>KTR-4309</t>
        </is>
      </c>
      <c r="B70" t="inlineStr">
        <is>
          <t>Terminal Dir M6 / Ford Edge-Fusion IZQ</t>
        </is>
      </c>
      <c r="C70" t="inlineStr">
        <is>
          <t>Mazda/Ford</t>
        </is>
      </c>
      <c r="D70" s="19" t="n">
        <v>2</v>
      </c>
      <c r="E70" s="14" t="n">
        <v>34800</v>
      </c>
      <c r="F70" s="14">
        <f>D70*E70</f>
        <v/>
      </c>
      <c r="G70" s="14" t="n">
        <v>26100</v>
      </c>
      <c r="H70" s="14" t="n">
        <v>41412</v>
      </c>
      <c r="I70" s="14" t="n">
        <v>3313</v>
      </c>
      <c r="J70" s="14" t="n">
        <v>41412</v>
      </c>
      <c r="K70" s="14" t="n"/>
      <c r="L70" s="14" t="n">
        <v>61100</v>
      </c>
      <c r="M70" s="14" t="n">
        <v>89500</v>
      </c>
      <c r="N70" s="14" t="n">
        <v>19688</v>
      </c>
      <c r="O70" s="14" t="n">
        <v>48088</v>
      </c>
      <c r="P70" s="14" t="n">
        <v>122200</v>
      </c>
      <c r="Q70" s="14" t="n">
        <v>179000</v>
      </c>
      <c r="R70" s="14" t="n">
        <v>6626</v>
      </c>
      <c r="S70" s="14" t="n">
        <v>82824</v>
      </c>
      <c r="T70" s="14" t="n">
        <v>39376</v>
      </c>
      <c r="U70" s="14" t="n">
        <v>96176</v>
      </c>
      <c r="V70" s="14">
        <f>ROUND((E70-G70)*D70,0)</f>
        <v/>
      </c>
    </row>
    <row r="71">
      <c r="A71" t="inlineStr">
        <is>
          <t>KSL-2107</t>
        </is>
      </c>
      <c r="B71" t="inlineStr">
        <is>
          <t>Bieleta Estab. Mazda 2 07-02 / Ford Fiesta-Fusion</t>
        </is>
      </c>
      <c r="C71" t="inlineStr">
        <is>
          <t>Mazda/Ford</t>
        </is>
      </c>
      <c r="D71" s="19" t="n">
        <v>2</v>
      </c>
      <c r="E71" s="14" t="n">
        <v>20720</v>
      </c>
      <c r="F71" s="14">
        <f>D71*E71</f>
        <v/>
      </c>
      <c r="G71" s="14" t="n">
        <v>15540</v>
      </c>
      <c r="H71" s="14" t="n">
        <v>24657</v>
      </c>
      <c r="I71" s="14" t="n">
        <v>1973</v>
      </c>
      <c r="J71" s="14" t="n">
        <v>24657</v>
      </c>
      <c r="K71" s="14" t="n"/>
      <c r="L71" s="14" t="n">
        <v>34100</v>
      </c>
      <c r="M71" s="14" t="n">
        <v>49900</v>
      </c>
      <c r="N71" s="14" t="n">
        <v>9443</v>
      </c>
      <c r="O71" s="14" t="n">
        <v>25243</v>
      </c>
      <c r="P71" s="14" t="n">
        <v>68200</v>
      </c>
      <c r="Q71" s="14" t="n">
        <v>99800</v>
      </c>
      <c r="R71" s="14" t="n">
        <v>3946</v>
      </c>
      <c r="S71" s="14" t="n">
        <v>49314</v>
      </c>
      <c r="T71" s="14" t="n">
        <v>18886</v>
      </c>
      <c r="U71" s="14" t="n">
        <v>50486</v>
      </c>
      <c r="V71" s="14">
        <f>ROUND((E71-G71)*D71,0)</f>
        <v/>
      </c>
    </row>
    <row r="72">
      <c r="A72" t="inlineStr">
        <is>
          <t>KRE-3210</t>
        </is>
      </c>
      <c r="B72" t="inlineStr">
        <is>
          <t>Terminal Axial Mazda 2 15-07 / Kia Picanto ION Dir Mecánica M14x1.5</t>
        </is>
      </c>
      <c r="C72" t="inlineStr">
        <is>
          <t>Mazda/Kia</t>
        </is>
      </c>
      <c r="D72" s="19" t="n">
        <v>2</v>
      </c>
      <c r="E72" s="14" t="n">
        <v>27020</v>
      </c>
      <c r="F72" s="14">
        <f>D72*E72</f>
        <v/>
      </c>
      <c r="G72" s="14" t="n">
        <v>20265</v>
      </c>
      <c r="H72" s="14" t="n">
        <v>32154</v>
      </c>
      <c r="I72" s="14" t="n">
        <v>2572</v>
      </c>
      <c r="J72" s="14" t="n">
        <v>32154</v>
      </c>
      <c r="K72" s="14" t="n"/>
      <c r="L72" s="14" t="n">
        <v>44500</v>
      </c>
      <c r="M72" s="14" t="n">
        <v>65100</v>
      </c>
      <c r="N72" s="14" t="n">
        <v>12346</v>
      </c>
      <c r="O72" s="14" t="n">
        <v>32946</v>
      </c>
      <c r="P72" s="14" t="n">
        <v>89000</v>
      </c>
      <c r="Q72" s="14" t="n">
        <v>130200</v>
      </c>
      <c r="R72" s="14" t="n">
        <v>5144</v>
      </c>
      <c r="S72" s="14" t="n">
        <v>64308</v>
      </c>
      <c r="T72" s="14" t="n">
        <v>24692</v>
      </c>
      <c r="U72" s="14" t="n">
        <v>65892</v>
      </c>
      <c r="V72" s="14">
        <f>ROUND((E72-G72)*D72,0)</f>
        <v/>
      </c>
    </row>
    <row r="73">
      <c r="A73" t="inlineStr">
        <is>
          <t>KBJ-4053</t>
        </is>
      </c>
      <c r="B73" t="inlineStr">
        <is>
          <t>Rótula D22 4x2-4x4 Frontier 4x4 SUP</t>
        </is>
      </c>
      <c r="C73" t="inlineStr">
        <is>
          <t>Nissan</t>
        </is>
      </c>
      <c r="D73" s="19" t="n">
        <v>2</v>
      </c>
      <c r="E73" s="14" t="n">
        <v>26220</v>
      </c>
      <c r="F73" s="14">
        <f>D73*E73</f>
        <v/>
      </c>
      <c r="G73" s="14" t="n">
        <v>19665</v>
      </c>
      <c r="H73" s="14" t="n">
        <v>31202</v>
      </c>
      <c r="I73" s="14" t="n">
        <v>2496</v>
      </c>
      <c r="J73" s="14" t="n">
        <v>31202</v>
      </c>
      <c r="K73" s="14" t="n"/>
      <c r="L73" s="14" t="n">
        <v>43200</v>
      </c>
      <c r="M73" s="14" t="n">
        <v>63200</v>
      </c>
      <c r="N73" s="14" t="n">
        <v>11998</v>
      </c>
      <c r="O73" s="14" t="n">
        <v>31998</v>
      </c>
      <c r="P73" s="14" t="n">
        <v>86400</v>
      </c>
      <c r="Q73" s="14" t="n">
        <v>126400</v>
      </c>
      <c r="R73" s="14" t="n">
        <v>4992</v>
      </c>
      <c r="S73" s="14" t="n">
        <v>62404</v>
      </c>
      <c r="T73" s="14" t="n">
        <v>23996</v>
      </c>
      <c r="U73" s="14" t="n">
        <v>63996</v>
      </c>
      <c r="V73" s="14">
        <f>ROUND((E73-G73)*D73,0)</f>
        <v/>
      </c>
    </row>
    <row r="74">
      <c r="A74" t="inlineStr">
        <is>
          <t>KBJ-4051</t>
        </is>
      </c>
      <c r="B74" t="inlineStr">
        <is>
          <t>Rótula D21 Frontier NP300 4x2 Gasol INF Urban INF</t>
        </is>
      </c>
      <c r="C74" t="inlineStr">
        <is>
          <t>Nissan</t>
        </is>
      </c>
      <c r="D74" s="19" t="n">
        <v>2</v>
      </c>
      <c r="E74" s="14" t="n">
        <v>38630</v>
      </c>
      <c r="F74" s="14">
        <f>D74*E74</f>
        <v/>
      </c>
      <c r="G74" s="14" t="n">
        <v>28973</v>
      </c>
      <c r="H74" s="14" t="n">
        <v>45970</v>
      </c>
      <c r="I74" s="14" t="n">
        <v>3678</v>
      </c>
      <c r="J74" s="14" t="n">
        <v>45970</v>
      </c>
      <c r="K74" s="14" t="n"/>
      <c r="L74" s="14" t="n">
        <v>67900</v>
      </c>
      <c r="M74" s="14" t="n">
        <v>99300</v>
      </c>
      <c r="N74" s="14" t="n">
        <v>21930</v>
      </c>
      <c r="O74" s="14" t="n">
        <v>53330</v>
      </c>
      <c r="P74" s="14" t="n">
        <v>135800</v>
      </c>
      <c r="Q74" s="14" t="n">
        <v>198600</v>
      </c>
      <c r="R74" s="14" t="n">
        <v>7356</v>
      </c>
      <c r="S74" s="14" t="n">
        <v>91940</v>
      </c>
      <c r="T74" s="14" t="n">
        <v>43860</v>
      </c>
      <c r="U74" s="14" t="n">
        <v>106660</v>
      </c>
      <c r="V74" s="14">
        <f>ROUND((E74-G74)*D74,0)</f>
        <v/>
      </c>
    </row>
    <row r="75">
      <c r="A75" t="inlineStr">
        <is>
          <t>KTR-5129</t>
        </is>
      </c>
      <c r="B75" t="inlineStr">
        <is>
          <t>Terminal Dirección March IZQ</t>
        </is>
      </c>
      <c r="C75" t="inlineStr">
        <is>
          <t>Nissan</t>
        </is>
      </c>
      <c r="D75" s="19" t="n">
        <v>2</v>
      </c>
      <c r="E75" s="14" t="n">
        <v>28950</v>
      </c>
      <c r="F75" s="14">
        <f>D75*E75</f>
        <v/>
      </c>
      <c r="G75" s="14" t="n">
        <v>21713</v>
      </c>
      <c r="H75" s="14" t="n">
        <v>34450</v>
      </c>
      <c r="I75" s="14" t="n">
        <v>2756</v>
      </c>
      <c r="J75" s="14" t="n">
        <v>34450</v>
      </c>
      <c r="K75" s="14" t="n"/>
      <c r="L75" s="14" t="n">
        <v>47700</v>
      </c>
      <c r="M75" s="14" t="n">
        <v>69800</v>
      </c>
      <c r="N75" s="14" t="n">
        <v>13250</v>
      </c>
      <c r="O75" s="14" t="n">
        <v>35350</v>
      </c>
      <c r="P75" s="14" t="n">
        <v>95400</v>
      </c>
      <c r="Q75" s="14" t="n">
        <v>139600</v>
      </c>
      <c r="R75" s="14" t="n">
        <v>5512</v>
      </c>
      <c r="S75" s="14" t="n">
        <v>68900</v>
      </c>
      <c r="T75" s="14" t="n">
        <v>26500</v>
      </c>
      <c r="U75" s="14" t="n">
        <v>70700</v>
      </c>
      <c r="V75" s="14">
        <f>ROUND((E75-G75)*D75,0)</f>
        <v/>
      </c>
    </row>
    <row r="76">
      <c r="A76" t="inlineStr">
        <is>
          <t>KTR-5130</t>
        </is>
      </c>
      <c r="B76" t="inlineStr">
        <is>
          <t>Terminal Dirección March K11 Note DER</t>
        </is>
      </c>
      <c r="C76" t="inlineStr">
        <is>
          <t>Nissan</t>
        </is>
      </c>
      <c r="D76" s="19" t="n">
        <v>2</v>
      </c>
      <c r="E76" s="14" t="n">
        <v>28950</v>
      </c>
      <c r="F76" s="14">
        <f>D76*E76</f>
        <v/>
      </c>
      <c r="G76" s="14" t="n">
        <v>21713</v>
      </c>
      <c r="H76" s="14" t="n">
        <v>34450</v>
      </c>
      <c r="I76" s="14" t="n">
        <v>2756</v>
      </c>
      <c r="J76" s="14" t="n">
        <v>34450</v>
      </c>
      <c r="K76" s="14" t="n"/>
      <c r="L76" s="14" t="n">
        <v>47700</v>
      </c>
      <c r="M76" s="14" t="n">
        <v>69800</v>
      </c>
      <c r="N76" s="14" t="n">
        <v>13250</v>
      </c>
      <c r="O76" s="14" t="n">
        <v>35350</v>
      </c>
      <c r="P76" s="14" t="n">
        <v>95400</v>
      </c>
      <c r="Q76" s="14" t="n">
        <v>139600</v>
      </c>
      <c r="R76" s="14" t="n">
        <v>5512</v>
      </c>
      <c r="S76" s="14" t="n">
        <v>68900</v>
      </c>
      <c r="T76" s="14" t="n">
        <v>26500</v>
      </c>
      <c r="U76" s="14" t="n">
        <v>70700</v>
      </c>
      <c r="V76" s="14">
        <f>ROUND((E76-G76)*D76,0)</f>
        <v/>
      </c>
    </row>
    <row r="77">
      <c r="A77" t="inlineStr">
        <is>
          <t>KSA-RE047</t>
        </is>
      </c>
      <c r="B77" t="inlineStr">
        <is>
          <t>AMORTIGUADOR RENAULT CLIO CAMPUS DEL Esp Largo - Plato Bajo peq</t>
        </is>
      </c>
      <c r="C77" t="inlineStr">
        <is>
          <t>Renault</t>
        </is>
      </c>
      <c r="D77" s="19" t="n">
        <v>2</v>
      </c>
      <c r="E77" s="14" t="n">
        <v>129320</v>
      </c>
      <c r="F77" s="14">
        <f>D77*E77</f>
        <v/>
      </c>
      <c r="G77" s="14" t="n">
        <v>96990</v>
      </c>
      <c r="H77" s="14" t="n">
        <v>153891</v>
      </c>
      <c r="I77" s="14" t="n">
        <v>12311</v>
      </c>
      <c r="J77" s="14" t="n">
        <v>153891</v>
      </c>
      <c r="K77" s="14" t="n"/>
      <c r="L77" s="14" t="n">
        <v>243400</v>
      </c>
      <c r="M77" s="14" t="n">
        <v>356200</v>
      </c>
      <c r="N77" s="14" t="n">
        <v>89509</v>
      </c>
      <c r="O77" s="14" t="n">
        <v>202309</v>
      </c>
      <c r="P77" s="14" t="n">
        <v>486800</v>
      </c>
      <c r="Q77" s="14" t="n">
        <v>712400</v>
      </c>
      <c r="R77" s="14" t="n">
        <v>24622</v>
      </c>
      <c r="S77" s="14" t="n">
        <v>307782</v>
      </c>
      <c r="T77" s="14" t="n">
        <v>179018</v>
      </c>
      <c r="U77" s="14" t="n">
        <v>404618</v>
      </c>
      <c r="V77" s="14">
        <f>ROUND((E77-G77)*D77,0)</f>
        <v/>
      </c>
    </row>
    <row r="78">
      <c r="A78" t="inlineStr">
        <is>
          <t>KBJ-4068</t>
        </is>
      </c>
      <c r="B78" t="inlineStr">
        <is>
          <t>Rótula Logan 15-06 Sandero 15-06 MG2 SC2</t>
        </is>
      </c>
      <c r="C78" t="inlineStr">
        <is>
          <t>Renault</t>
        </is>
      </c>
      <c r="D78" s="19" t="n">
        <v>2</v>
      </c>
      <c r="E78" s="14" t="n">
        <v>18570</v>
      </c>
      <c r="F78" s="14">
        <f>D78*E78</f>
        <v/>
      </c>
      <c r="G78" s="14" t="n">
        <v>13928</v>
      </c>
      <c r="H78" s="14" t="n">
        <v>22098</v>
      </c>
      <c r="I78" s="14" t="n">
        <v>1768</v>
      </c>
      <c r="J78" s="14" t="n">
        <v>22098</v>
      </c>
      <c r="K78" s="14" t="n"/>
      <c r="L78" s="14" t="n">
        <v>30600</v>
      </c>
      <c r="M78" s="14" t="n">
        <v>44700</v>
      </c>
      <c r="N78" s="14" t="n">
        <v>8502</v>
      </c>
      <c r="O78" s="14" t="n">
        <v>22602</v>
      </c>
      <c r="P78" s="14" t="n">
        <v>61200</v>
      </c>
      <c r="Q78" s="14" t="n">
        <v>89400</v>
      </c>
      <c r="R78" s="14" t="n">
        <v>3536</v>
      </c>
      <c r="S78" s="14" t="n">
        <v>44196</v>
      </c>
      <c r="T78" s="14" t="n">
        <v>17004</v>
      </c>
      <c r="U78" s="14" t="n">
        <v>45204</v>
      </c>
      <c r="V78" s="14">
        <f>ROUND((E78-G78)*D78,0)</f>
        <v/>
      </c>
    </row>
    <row r="79">
      <c r="A79" t="inlineStr">
        <is>
          <t>KBJ-4064</t>
        </is>
      </c>
      <c r="B79" t="inlineStr">
        <is>
          <t>Rótula R9-19-21RC-CL-TW</t>
        </is>
      </c>
      <c r="C79" t="inlineStr">
        <is>
          <t>Renault</t>
        </is>
      </c>
      <c r="D79" s="19" t="n">
        <v>2</v>
      </c>
      <c r="E79" s="14" t="n">
        <v>23010</v>
      </c>
      <c r="F79" s="14">
        <f>D79*E79</f>
        <v/>
      </c>
      <c r="G79" s="14" t="n">
        <v>17258</v>
      </c>
      <c r="H79" s="14" t="n">
        <v>27382</v>
      </c>
      <c r="I79" s="14" t="n">
        <v>2191</v>
      </c>
      <c r="J79" s="14" t="n">
        <v>27382</v>
      </c>
      <c r="K79" s="14" t="n"/>
      <c r="L79" s="14" t="n">
        <v>37900</v>
      </c>
      <c r="M79" s="14" t="n">
        <v>55400</v>
      </c>
      <c r="N79" s="14" t="n">
        <v>10518</v>
      </c>
      <c r="O79" s="14" t="n">
        <v>28018</v>
      </c>
      <c r="P79" s="14" t="n">
        <v>75800</v>
      </c>
      <c r="Q79" s="14" t="n">
        <v>110800</v>
      </c>
      <c r="R79" s="14" t="n">
        <v>4382</v>
      </c>
      <c r="S79" s="14" t="n">
        <v>54764</v>
      </c>
      <c r="T79" s="14" t="n">
        <v>21036</v>
      </c>
      <c r="U79" s="14" t="n">
        <v>56036</v>
      </c>
      <c r="V79" s="14">
        <f>ROUND((E79-G79)*D79,0)</f>
        <v/>
      </c>
    </row>
    <row r="80">
      <c r="A80" t="inlineStr">
        <is>
          <t>KBJ-4065</t>
        </is>
      </c>
      <c r="B80" t="inlineStr">
        <is>
          <t>Rótula Clio 2</t>
        </is>
      </c>
      <c r="C80" t="inlineStr">
        <is>
          <t>Renault</t>
        </is>
      </c>
      <c r="D80" s="19" t="n">
        <v>2</v>
      </c>
      <c r="E80" s="14" t="n">
        <v>27630</v>
      </c>
      <c r="F80" s="14">
        <f>D80*E80</f>
        <v/>
      </c>
      <c r="G80" s="14" t="n">
        <v>20723</v>
      </c>
      <c r="H80" s="14" t="n">
        <v>32880</v>
      </c>
      <c r="I80" s="14" t="n">
        <v>2630</v>
      </c>
      <c r="J80" s="14" t="n">
        <v>32880</v>
      </c>
      <c r="K80" s="14" t="n"/>
      <c r="L80" s="14" t="n">
        <v>45500</v>
      </c>
      <c r="M80" s="14" t="n">
        <v>66600</v>
      </c>
      <c r="N80" s="14" t="n">
        <v>12620</v>
      </c>
      <c r="O80" s="14" t="n">
        <v>33720</v>
      </c>
      <c r="P80" s="14" t="n">
        <v>91000</v>
      </c>
      <c r="Q80" s="14" t="n">
        <v>133200</v>
      </c>
      <c r="R80" s="14" t="n">
        <v>5260</v>
      </c>
      <c r="S80" s="14" t="n">
        <v>65760</v>
      </c>
      <c r="T80" s="14" t="n">
        <v>25240</v>
      </c>
      <c r="U80" s="14" t="n">
        <v>67440</v>
      </c>
      <c r="V80" s="14">
        <f>ROUND((E80-G80)*D80,0)</f>
        <v/>
      </c>
    </row>
    <row r="81">
      <c r="A81" t="inlineStr">
        <is>
          <t>KBJ-4108</t>
        </is>
      </c>
      <c r="B81" t="inlineStr">
        <is>
          <t>Rótula Logan 23-16 Sandero 23-16 STW 23-16</t>
        </is>
      </c>
      <c r="C81" t="inlineStr">
        <is>
          <t>Renault</t>
        </is>
      </c>
      <c r="D81" s="19" t="n">
        <v>2</v>
      </c>
      <c r="E81" s="14" t="n">
        <v>21870</v>
      </c>
      <c r="F81" s="14">
        <f>D81*E81</f>
        <v/>
      </c>
      <c r="G81" s="14" t="n">
        <v>16403</v>
      </c>
      <c r="H81" s="14" t="n">
        <v>26025</v>
      </c>
      <c r="I81" s="14" t="n">
        <v>2082</v>
      </c>
      <c r="J81" s="14" t="n">
        <v>26025</v>
      </c>
      <c r="K81" s="14" t="n"/>
      <c r="L81" s="14" t="n">
        <v>36000</v>
      </c>
      <c r="M81" s="14" t="n">
        <v>52700</v>
      </c>
      <c r="N81" s="14" t="n">
        <v>9975</v>
      </c>
      <c r="O81" s="14" t="n">
        <v>26675</v>
      </c>
      <c r="P81" s="14" t="n">
        <v>72000</v>
      </c>
      <c r="Q81" s="14" t="n">
        <v>105400</v>
      </c>
      <c r="R81" s="14" t="n">
        <v>4164</v>
      </c>
      <c r="S81" s="14" t="n">
        <v>52050</v>
      </c>
      <c r="T81" s="14" t="n">
        <v>19950</v>
      </c>
      <c r="U81" s="14" t="n">
        <v>53350</v>
      </c>
      <c r="V81" s="14">
        <f>ROUND((E81-G81)*D81,0)</f>
        <v/>
      </c>
    </row>
    <row r="82">
      <c r="A82" t="inlineStr">
        <is>
          <t>KTR-6013</t>
        </is>
      </c>
      <c r="B82" t="inlineStr">
        <is>
          <t>Terminal Dirección Megane 2 IZQ</t>
        </is>
      </c>
      <c r="C82" t="inlineStr">
        <is>
          <t>Renault</t>
        </is>
      </c>
      <c r="D82" s="19" t="n">
        <v>2</v>
      </c>
      <c r="E82" s="14" t="n">
        <v>36040</v>
      </c>
      <c r="F82" s="14">
        <f>D82*E82</f>
        <v/>
      </c>
      <c r="G82" s="14" t="n">
        <v>27030</v>
      </c>
      <c r="H82" s="14" t="n">
        <v>42888</v>
      </c>
      <c r="I82" s="14" t="n">
        <v>3431</v>
      </c>
      <c r="J82" s="14" t="n">
        <v>42888</v>
      </c>
      <c r="K82" s="14" t="n"/>
      <c r="L82" s="14" t="n">
        <v>63300</v>
      </c>
      <c r="M82" s="14" t="n">
        <v>92600</v>
      </c>
      <c r="N82" s="14" t="n">
        <v>20412</v>
      </c>
      <c r="O82" s="14" t="n">
        <v>49712</v>
      </c>
      <c r="P82" s="14" t="n">
        <v>126600</v>
      </c>
      <c r="Q82" s="14" t="n">
        <v>185200</v>
      </c>
      <c r="R82" s="14" t="n">
        <v>6862</v>
      </c>
      <c r="S82" s="14" t="n">
        <v>85776</v>
      </c>
      <c r="T82" s="14" t="n">
        <v>40824</v>
      </c>
      <c r="U82" s="14" t="n">
        <v>99424</v>
      </c>
      <c r="V82" s="14">
        <f>ROUND((E82-G82)*D82,0)</f>
        <v/>
      </c>
    </row>
    <row r="83">
      <c r="A83" t="inlineStr">
        <is>
          <t>KTR-6014</t>
        </is>
      </c>
      <c r="B83" t="inlineStr">
        <is>
          <t>Terminal Dirección Megane 2 DER</t>
        </is>
      </c>
      <c r="C83" t="inlineStr">
        <is>
          <t>Renault</t>
        </is>
      </c>
      <c r="D83" s="19" t="n">
        <v>2</v>
      </c>
      <c r="E83" s="14" t="n">
        <v>36040</v>
      </c>
      <c r="F83" s="14">
        <f>D83*E83</f>
        <v/>
      </c>
      <c r="G83" s="14" t="n">
        <v>27030</v>
      </c>
      <c r="H83" s="14" t="n">
        <v>42888</v>
      </c>
      <c r="I83" s="14" t="n">
        <v>3431</v>
      </c>
      <c r="J83" s="14" t="n">
        <v>42888</v>
      </c>
      <c r="K83" s="14" t="n"/>
      <c r="L83" s="14" t="n">
        <v>63300</v>
      </c>
      <c r="M83" s="14" t="n">
        <v>92600</v>
      </c>
      <c r="N83" s="14" t="n">
        <v>20412</v>
      </c>
      <c r="O83" s="14" t="n">
        <v>49712</v>
      </c>
      <c r="P83" s="14" t="n">
        <v>126600</v>
      </c>
      <c r="Q83" s="14" t="n">
        <v>185200</v>
      </c>
      <c r="R83" s="14" t="n">
        <v>6862</v>
      </c>
      <c r="S83" s="14" t="n">
        <v>85776</v>
      </c>
      <c r="T83" s="14" t="n">
        <v>40824</v>
      </c>
      <c r="U83" s="14" t="n">
        <v>99424</v>
      </c>
      <c r="V83" s="14">
        <f>ROUND((E83-G83)*D83,0)</f>
        <v/>
      </c>
    </row>
    <row r="84">
      <c r="A84" t="inlineStr">
        <is>
          <t>KBJ-4066</t>
        </is>
      </c>
      <c r="B84" t="inlineStr">
        <is>
          <t>Rótula Duster</t>
        </is>
      </c>
      <c r="C84" t="inlineStr">
        <is>
          <t>Renault</t>
        </is>
      </c>
      <c r="D84" s="19" t="n">
        <v>2</v>
      </c>
      <c r="E84" s="14" t="n">
        <v>34630</v>
      </c>
      <c r="F84" s="14">
        <f>D84*E84</f>
        <v/>
      </c>
      <c r="G84" s="14" t="n">
        <v>25973</v>
      </c>
      <c r="H84" s="14" t="n">
        <v>41210</v>
      </c>
      <c r="I84" s="14" t="n">
        <v>3297</v>
      </c>
      <c r="J84" s="14" t="n">
        <v>41210</v>
      </c>
      <c r="K84" s="14" t="n"/>
      <c r="L84" s="14" t="n">
        <v>60800</v>
      </c>
      <c r="M84" s="14" t="n">
        <v>89000</v>
      </c>
      <c r="N84" s="14" t="n">
        <v>19590</v>
      </c>
      <c r="O84" s="14" t="n">
        <v>47790</v>
      </c>
      <c r="P84" s="14" t="n">
        <v>121600</v>
      </c>
      <c r="Q84" s="14" t="n">
        <v>178000</v>
      </c>
      <c r="R84" s="14" t="n">
        <v>6594</v>
      </c>
      <c r="S84" s="14" t="n">
        <v>82420</v>
      </c>
      <c r="T84" s="14" t="n">
        <v>39180</v>
      </c>
      <c r="U84" s="14" t="n">
        <v>95580</v>
      </c>
      <c r="V84" s="14">
        <f>ROUND((E84-G84)*D84,0)</f>
        <v/>
      </c>
    </row>
    <row r="85">
      <c r="A85" t="inlineStr">
        <is>
          <t>KTR-6007</t>
        </is>
      </c>
      <c r="B85" t="inlineStr">
        <is>
          <t>Terminal Dir Logan I IZQ</t>
        </is>
      </c>
      <c r="C85" t="inlineStr">
        <is>
          <t>Renault</t>
        </is>
      </c>
      <c r="D85" s="19" t="n">
        <v>2</v>
      </c>
      <c r="E85" s="14" t="n">
        <v>27100</v>
      </c>
      <c r="F85" s="14">
        <f>D85*E85</f>
        <v/>
      </c>
      <c r="G85" s="14" t="n">
        <v>20325</v>
      </c>
      <c r="H85" s="14" t="n">
        <v>32249</v>
      </c>
      <c r="I85" s="14" t="n">
        <v>2580</v>
      </c>
      <c r="J85" s="14" t="n">
        <v>32249</v>
      </c>
      <c r="K85" s="14" t="n"/>
      <c r="L85" s="14" t="n">
        <v>44600</v>
      </c>
      <c r="M85" s="14" t="n">
        <v>65300</v>
      </c>
      <c r="N85" s="14" t="n">
        <v>12351</v>
      </c>
      <c r="O85" s="14" t="n">
        <v>33051</v>
      </c>
      <c r="P85" s="14" t="n">
        <v>89200</v>
      </c>
      <c r="Q85" s="14" t="n">
        <v>130600</v>
      </c>
      <c r="R85" s="14" t="n">
        <v>5160</v>
      </c>
      <c r="S85" s="14" t="n">
        <v>64498</v>
      </c>
      <c r="T85" s="14" t="n">
        <v>24702</v>
      </c>
      <c r="U85" s="14" t="n">
        <v>66102</v>
      </c>
      <c r="V85" s="14">
        <f>ROUND((E85-G85)*D85,0)</f>
        <v/>
      </c>
    </row>
    <row r="86">
      <c r="A86" t="inlineStr">
        <is>
          <t>KTR-6005</t>
        </is>
      </c>
      <c r="B86" t="inlineStr">
        <is>
          <t>Terminal Dir Duster 4x4 IZQ</t>
        </is>
      </c>
      <c r="C86" t="inlineStr">
        <is>
          <t>Renault</t>
        </is>
      </c>
      <c r="D86" s="19" t="n">
        <v>2</v>
      </c>
      <c r="E86" s="14" t="n">
        <v>37360</v>
      </c>
      <c r="F86" s="14">
        <f>D86*E86</f>
        <v/>
      </c>
      <c r="G86" s="14" t="n">
        <v>28020</v>
      </c>
      <c r="H86" s="14" t="n">
        <v>44458</v>
      </c>
      <c r="I86" s="14" t="n">
        <v>3557</v>
      </c>
      <c r="J86" s="14" t="n">
        <v>44458</v>
      </c>
      <c r="K86" s="14" t="n"/>
      <c r="L86" s="14" t="n">
        <v>65600</v>
      </c>
      <c r="M86" s="14" t="n">
        <v>96000</v>
      </c>
      <c r="N86" s="14" t="n">
        <v>21142</v>
      </c>
      <c r="O86" s="14" t="n">
        <v>51542</v>
      </c>
      <c r="P86" s="14" t="n">
        <v>131200</v>
      </c>
      <c r="Q86" s="14" t="n">
        <v>192000</v>
      </c>
      <c r="R86" s="14" t="n">
        <v>7114</v>
      </c>
      <c r="S86" s="14" t="n">
        <v>88916</v>
      </c>
      <c r="T86" s="14" t="n">
        <v>42284</v>
      </c>
      <c r="U86" s="14" t="n">
        <v>103084</v>
      </c>
      <c r="V86" s="14">
        <f>ROUND((E86-G86)*D86,0)</f>
        <v/>
      </c>
    </row>
    <row r="87">
      <c r="A87" t="inlineStr">
        <is>
          <t>KRE-6215</t>
        </is>
      </c>
      <c r="B87" t="inlineStr">
        <is>
          <t>Terminal Axial Megane II - Scenic II</t>
        </is>
      </c>
      <c r="C87" t="inlineStr">
        <is>
          <t>Renault</t>
        </is>
      </c>
      <c r="D87" s="19" t="n">
        <v>2</v>
      </c>
      <c r="E87" s="14" t="n">
        <v>26270</v>
      </c>
      <c r="F87" s="14">
        <f>D87*E87</f>
        <v/>
      </c>
      <c r="G87" s="14" t="n">
        <v>19703</v>
      </c>
      <c r="H87" s="14" t="n">
        <v>31261</v>
      </c>
      <c r="I87" s="14" t="n">
        <v>2501</v>
      </c>
      <c r="J87" s="14" t="n">
        <v>31261</v>
      </c>
      <c r="K87" s="14" t="n"/>
      <c r="L87" s="14" t="n">
        <v>43300</v>
      </c>
      <c r="M87" s="14" t="n">
        <v>63300</v>
      </c>
      <c r="N87" s="14" t="n">
        <v>12039</v>
      </c>
      <c r="O87" s="14" t="n">
        <v>32039</v>
      </c>
      <c r="P87" s="14" t="n">
        <v>86600</v>
      </c>
      <c r="Q87" s="14" t="n">
        <v>126600</v>
      </c>
      <c r="R87" s="14" t="n">
        <v>5002</v>
      </c>
      <c r="S87" s="14" t="n">
        <v>62522</v>
      </c>
      <c r="T87" s="14" t="n">
        <v>24078</v>
      </c>
      <c r="U87" s="14" t="n">
        <v>64078</v>
      </c>
      <c r="V87" s="14">
        <f>ROUND((E87-G87)*D87,0)</f>
        <v/>
      </c>
    </row>
    <row r="88">
      <c r="A88" t="inlineStr">
        <is>
          <t>KTR-6006</t>
        </is>
      </c>
      <c r="B88" t="inlineStr">
        <is>
          <t>Terminal Dir Duster 4x4 DER</t>
        </is>
      </c>
      <c r="C88" t="inlineStr">
        <is>
          <t>Renault</t>
        </is>
      </c>
      <c r="D88" s="19" t="n">
        <v>2</v>
      </c>
      <c r="E88" s="14" t="n">
        <v>37360</v>
      </c>
      <c r="F88" s="14">
        <f>D88*E88</f>
        <v/>
      </c>
      <c r="G88" s="14" t="n">
        <v>28020</v>
      </c>
      <c r="H88" s="14" t="n">
        <v>44458</v>
      </c>
      <c r="I88" s="14" t="n">
        <v>3557</v>
      </c>
      <c r="J88" s="14" t="n">
        <v>44458</v>
      </c>
      <c r="K88" s="14" t="n"/>
      <c r="L88" s="14" t="n">
        <v>65600</v>
      </c>
      <c r="M88" s="14" t="n">
        <v>96000</v>
      </c>
      <c r="N88" s="14" t="n">
        <v>21142</v>
      </c>
      <c r="O88" s="14" t="n">
        <v>51542</v>
      </c>
      <c r="P88" s="14" t="n">
        <v>131200</v>
      </c>
      <c r="Q88" s="14" t="n">
        <v>192000</v>
      </c>
      <c r="R88" s="14" t="n">
        <v>7114</v>
      </c>
      <c r="S88" s="14" t="n">
        <v>88916</v>
      </c>
      <c r="T88" s="14" t="n">
        <v>42284</v>
      </c>
      <c r="U88" s="14" t="n">
        <v>103084</v>
      </c>
      <c r="V88" s="14">
        <f>ROUND((E88-G88)*D88,0)</f>
        <v/>
      </c>
    </row>
    <row r="89">
      <c r="A89" t="inlineStr">
        <is>
          <t>KSL-3008</t>
        </is>
      </c>
      <c r="B89" t="inlineStr">
        <is>
          <t>Bieleta Estab. Twingo 16V DER</t>
        </is>
      </c>
      <c r="C89" t="inlineStr">
        <is>
          <t>Renault</t>
        </is>
      </c>
      <c r="D89" s="19" t="n">
        <v>2</v>
      </c>
      <c r="E89" s="14" t="n">
        <v>22220</v>
      </c>
      <c r="F89" s="14">
        <f>D89*E89</f>
        <v/>
      </c>
      <c r="G89" s="14" t="n">
        <v>16665</v>
      </c>
      <c r="H89" s="14" t="n">
        <v>26442</v>
      </c>
      <c r="I89" s="14" t="n">
        <v>2115</v>
      </c>
      <c r="J89" s="14" t="n">
        <v>26442</v>
      </c>
      <c r="K89" s="14" t="n"/>
      <c r="L89" s="14" t="n">
        <v>36600</v>
      </c>
      <c r="M89" s="14" t="n">
        <v>53500</v>
      </c>
      <c r="N89" s="14" t="n">
        <v>10158</v>
      </c>
      <c r="O89" s="14" t="n">
        <v>27058</v>
      </c>
      <c r="P89" s="14" t="n">
        <v>73200</v>
      </c>
      <c r="Q89" s="14" t="n">
        <v>107000</v>
      </c>
      <c r="R89" s="14" t="n">
        <v>4230</v>
      </c>
      <c r="S89" s="14" t="n">
        <v>52884</v>
      </c>
      <c r="T89" s="14" t="n">
        <v>20316</v>
      </c>
      <c r="U89" s="14" t="n">
        <v>54116</v>
      </c>
      <c r="V89" s="14">
        <f>ROUND((E89-G89)*D89,0)</f>
        <v/>
      </c>
    </row>
    <row r="90">
      <c r="A90" t="inlineStr">
        <is>
          <t>KRE-6217</t>
        </is>
      </c>
      <c r="B90" t="inlineStr">
        <is>
          <t>Terminal Axial Logan II 20-11 Sandero II-Stepway II</t>
        </is>
      </c>
      <c r="C90" t="inlineStr">
        <is>
          <t>Renault</t>
        </is>
      </c>
      <c r="D90" s="19" t="n">
        <v>2</v>
      </c>
      <c r="E90" s="14" t="n">
        <v>26270</v>
      </c>
      <c r="F90" s="14">
        <f>D90*E90</f>
        <v/>
      </c>
      <c r="G90" s="14" t="n">
        <v>19703</v>
      </c>
      <c r="H90" s="14" t="n">
        <v>31261</v>
      </c>
      <c r="I90" s="14" t="n">
        <v>2501</v>
      </c>
      <c r="J90" s="14" t="n">
        <v>31261</v>
      </c>
      <c r="K90" s="14" t="n"/>
      <c r="L90" s="14" t="n">
        <v>43300</v>
      </c>
      <c r="M90" s="14" t="n">
        <v>63300</v>
      </c>
      <c r="N90" s="14" t="n">
        <v>12039</v>
      </c>
      <c r="O90" s="14" t="n">
        <v>32039</v>
      </c>
      <c r="P90" s="14" t="n">
        <v>86600</v>
      </c>
      <c r="Q90" s="14" t="n">
        <v>126600</v>
      </c>
      <c r="R90" s="14" t="n">
        <v>5002</v>
      </c>
      <c r="S90" s="14" t="n">
        <v>62522</v>
      </c>
      <c r="T90" s="14" t="n">
        <v>24078</v>
      </c>
      <c r="U90" s="14" t="n">
        <v>64078</v>
      </c>
      <c r="V90" s="14">
        <f>ROUND((E90-G90)*D90,0)</f>
        <v/>
      </c>
    </row>
    <row r="91">
      <c r="A91" t="inlineStr">
        <is>
          <t>KSL-3007</t>
        </is>
      </c>
      <c r="B91" t="inlineStr">
        <is>
          <t>Bieleta Estab. Twingo 16V IZQ</t>
        </is>
      </c>
      <c r="C91" t="inlineStr">
        <is>
          <t>Renault</t>
        </is>
      </c>
      <c r="D91" s="19" t="n">
        <v>2</v>
      </c>
      <c r="E91" s="14" t="n">
        <v>22220</v>
      </c>
      <c r="F91" s="14">
        <f>D91*E91</f>
        <v/>
      </c>
      <c r="G91" s="14" t="n">
        <v>16665</v>
      </c>
      <c r="H91" s="14" t="n">
        <v>26442</v>
      </c>
      <c r="I91" s="14" t="n">
        <v>2115</v>
      </c>
      <c r="J91" s="14" t="n">
        <v>26442</v>
      </c>
      <c r="K91" s="14" t="n"/>
      <c r="L91" s="14" t="n">
        <v>36600</v>
      </c>
      <c r="M91" s="14" t="n">
        <v>53500</v>
      </c>
      <c r="N91" s="14" t="n">
        <v>10158</v>
      </c>
      <c r="O91" s="14" t="n">
        <v>27058</v>
      </c>
      <c r="P91" s="14" t="n">
        <v>73200</v>
      </c>
      <c r="Q91" s="14" t="n">
        <v>107000</v>
      </c>
      <c r="R91" s="14" t="n">
        <v>4230</v>
      </c>
      <c r="S91" s="14" t="n">
        <v>52884</v>
      </c>
      <c r="T91" s="14" t="n">
        <v>20316</v>
      </c>
      <c r="U91" s="14" t="n">
        <v>54116</v>
      </c>
      <c r="V91" s="14">
        <f>ROUND((E91-G91)*D91,0)</f>
        <v/>
      </c>
    </row>
    <row r="92">
      <c r="A92" t="inlineStr">
        <is>
          <t>KRE-6211</t>
        </is>
      </c>
      <c r="B92" t="inlineStr">
        <is>
          <t>Terminal Axial Logan I 10-06 Sandero I rosca delgada</t>
        </is>
      </c>
      <c r="C92" t="inlineStr">
        <is>
          <t>Renault</t>
        </is>
      </c>
      <c r="D92" s="19" t="n">
        <v>2</v>
      </c>
      <c r="E92" s="14" t="n">
        <v>23540</v>
      </c>
      <c r="F92" s="14">
        <f>D92*E92</f>
        <v/>
      </c>
      <c r="G92" s="14" t="n">
        <v>17655</v>
      </c>
      <c r="H92" s="14" t="n">
        <v>28013</v>
      </c>
      <c r="I92" s="14" t="n">
        <v>2241</v>
      </c>
      <c r="J92" s="14" t="n">
        <v>28013</v>
      </c>
      <c r="K92" s="14" t="n"/>
      <c r="L92" s="14" t="n">
        <v>38800</v>
      </c>
      <c r="M92" s="14" t="n">
        <v>56700</v>
      </c>
      <c r="N92" s="14" t="n">
        <v>10787</v>
      </c>
      <c r="O92" s="14" t="n">
        <v>28687</v>
      </c>
      <c r="P92" s="14" t="n">
        <v>77600</v>
      </c>
      <c r="Q92" s="14" t="n">
        <v>113400</v>
      </c>
      <c r="R92" s="14" t="n">
        <v>4482</v>
      </c>
      <c r="S92" s="14" t="n">
        <v>56026</v>
      </c>
      <c r="T92" s="14" t="n">
        <v>21574</v>
      </c>
      <c r="U92" s="14" t="n">
        <v>57374</v>
      </c>
      <c r="V92" s="14">
        <f>ROUND((E92-G92)*D92,0)</f>
        <v/>
      </c>
    </row>
    <row r="93">
      <c r="A93" t="inlineStr">
        <is>
          <t>KSL-3002</t>
        </is>
      </c>
      <c r="B93" t="inlineStr">
        <is>
          <t>Bieleta Estab. Duster</t>
        </is>
      </c>
      <c r="C93" t="inlineStr">
        <is>
          <t>Renault</t>
        </is>
      </c>
      <c r="D93" s="19" t="n">
        <v>2</v>
      </c>
      <c r="E93" s="14" t="n">
        <v>20110</v>
      </c>
      <c r="F93" s="14">
        <f>D93*E93</f>
        <v/>
      </c>
      <c r="G93" s="14" t="n">
        <v>15083</v>
      </c>
      <c r="H93" s="14" t="n">
        <v>23931</v>
      </c>
      <c r="I93" s="14" t="n">
        <v>1914</v>
      </c>
      <c r="J93" s="14" t="n">
        <v>23931</v>
      </c>
      <c r="K93" s="14" t="n"/>
      <c r="L93" s="14" t="n">
        <v>33100</v>
      </c>
      <c r="M93" s="14" t="n">
        <v>48500</v>
      </c>
      <c r="N93" s="14" t="n">
        <v>9169</v>
      </c>
      <c r="O93" s="14" t="n">
        <v>24569</v>
      </c>
      <c r="P93" s="14" t="n">
        <v>66200</v>
      </c>
      <c r="Q93" s="14" t="n">
        <v>97000</v>
      </c>
      <c r="R93" s="14" t="n">
        <v>3828</v>
      </c>
      <c r="S93" s="14" t="n">
        <v>47862</v>
      </c>
      <c r="T93" s="14" t="n">
        <v>18338</v>
      </c>
      <c r="U93" s="14" t="n">
        <v>49138</v>
      </c>
      <c r="V93" s="14">
        <f>ROUND((E93-G93)*D93,0)</f>
        <v/>
      </c>
    </row>
    <row r="94">
      <c r="A94" t="inlineStr">
        <is>
          <t>KTR-6008</t>
        </is>
      </c>
      <c r="B94" t="inlineStr">
        <is>
          <t>Terminal Dir Logan I DER</t>
        </is>
      </c>
      <c r="C94" t="inlineStr">
        <is>
          <t>Renault</t>
        </is>
      </c>
      <c r="D94" s="19" t="n">
        <v>2</v>
      </c>
      <c r="E94" s="14" t="n">
        <v>27100</v>
      </c>
      <c r="F94" s="14">
        <f>D94*E94</f>
        <v/>
      </c>
      <c r="G94" s="14" t="n">
        <v>20325</v>
      </c>
      <c r="H94" s="14" t="n">
        <v>32249</v>
      </c>
      <c r="I94" s="14" t="n">
        <v>2580</v>
      </c>
      <c r="J94" s="14" t="n">
        <v>32249</v>
      </c>
      <c r="K94" s="14" t="n"/>
      <c r="L94" s="14" t="n">
        <v>44600</v>
      </c>
      <c r="M94" s="14" t="n">
        <v>65300</v>
      </c>
      <c r="N94" s="14" t="n">
        <v>12351</v>
      </c>
      <c r="O94" s="14" t="n">
        <v>33051</v>
      </c>
      <c r="P94" s="14" t="n">
        <v>89200</v>
      </c>
      <c r="Q94" s="14" t="n">
        <v>130600</v>
      </c>
      <c r="R94" s="14" t="n">
        <v>5160</v>
      </c>
      <c r="S94" s="14" t="n">
        <v>64498</v>
      </c>
      <c r="T94" s="14" t="n">
        <v>24702</v>
      </c>
      <c r="U94" s="14" t="n">
        <v>66102</v>
      </c>
      <c r="V94" s="14">
        <f>ROUND((E94-G94)*D94,0)</f>
        <v/>
      </c>
    </row>
    <row r="95">
      <c r="A95" t="inlineStr">
        <is>
          <t>KRE-6209</t>
        </is>
      </c>
      <c r="B95" t="inlineStr">
        <is>
          <t>Terminal Axial Clio II-Megane I-Scenic I Larga 310mm</t>
        </is>
      </c>
      <c r="C95" t="inlineStr">
        <is>
          <t>Renault</t>
        </is>
      </c>
      <c r="D95" s="19" t="n">
        <v>2</v>
      </c>
      <c r="E95" s="14" t="n">
        <v>23320</v>
      </c>
      <c r="F95" s="14">
        <f>D95*E95</f>
        <v/>
      </c>
      <c r="G95" s="14" t="n">
        <v>17490</v>
      </c>
      <c r="H95" s="14" t="n">
        <v>27751</v>
      </c>
      <c r="I95" s="14" t="n">
        <v>2220</v>
      </c>
      <c r="J95" s="14" t="n">
        <v>27751</v>
      </c>
      <c r="K95" s="14" t="n"/>
      <c r="L95" s="14" t="n">
        <v>38400</v>
      </c>
      <c r="M95" s="14" t="n">
        <v>56200</v>
      </c>
      <c r="N95" s="14" t="n">
        <v>10649</v>
      </c>
      <c r="O95" s="14" t="n">
        <v>28449</v>
      </c>
      <c r="P95" s="14" t="n">
        <v>76800</v>
      </c>
      <c r="Q95" s="14" t="n">
        <v>112400</v>
      </c>
      <c r="R95" s="14" t="n">
        <v>4440</v>
      </c>
      <c r="S95" s="14" t="n">
        <v>55502</v>
      </c>
      <c r="T95" s="14" t="n">
        <v>21298</v>
      </c>
      <c r="U95" s="14" t="n">
        <v>56898</v>
      </c>
      <c r="V95" s="14">
        <f>ROUND((E95-G95)*D95,0)</f>
        <v/>
      </c>
    </row>
    <row r="96">
      <c r="A96" t="inlineStr">
        <is>
          <t>KRE-6216</t>
        </is>
      </c>
      <c r="B96" t="inlineStr">
        <is>
          <t>Terminal Axial Twingo</t>
        </is>
      </c>
      <c r="C96" t="inlineStr">
        <is>
          <t>Renault</t>
        </is>
      </c>
      <c r="D96" s="19" t="n">
        <v>2</v>
      </c>
      <c r="E96" s="14" t="n">
        <v>23940</v>
      </c>
      <c r="F96" s="14">
        <f>D96*E96</f>
        <v/>
      </c>
      <c r="G96" s="14" t="n">
        <v>17955</v>
      </c>
      <c r="H96" s="14" t="n">
        <v>28489</v>
      </c>
      <c r="I96" s="14" t="n">
        <v>2279</v>
      </c>
      <c r="J96" s="14" t="n">
        <v>28489</v>
      </c>
      <c r="K96" s="14" t="n"/>
      <c r="L96" s="14" t="n">
        <v>39400</v>
      </c>
      <c r="M96" s="14" t="n">
        <v>57700</v>
      </c>
      <c r="N96" s="14" t="n">
        <v>10911</v>
      </c>
      <c r="O96" s="14" t="n">
        <v>29211</v>
      </c>
      <c r="P96" s="14" t="n">
        <v>78800</v>
      </c>
      <c r="Q96" s="14" t="n">
        <v>115400</v>
      </c>
      <c r="R96" s="14" t="n">
        <v>4558</v>
      </c>
      <c r="S96" s="14" t="n">
        <v>56978</v>
      </c>
      <c r="T96" s="14" t="n">
        <v>21822</v>
      </c>
      <c r="U96" s="14" t="n">
        <v>58422</v>
      </c>
      <c r="V96" s="14">
        <f>ROUND((E96-G96)*D96,0)</f>
        <v/>
      </c>
    </row>
    <row r="97">
      <c r="A97" t="inlineStr">
        <is>
          <t>KSA-RE018</t>
        </is>
      </c>
      <c r="B97" t="inlineStr">
        <is>
          <t>AMORTIGUADOR RENAULT LOGAN 22-16 DELANTERO 277mm x2</t>
        </is>
      </c>
      <c r="C97" t="inlineStr">
        <is>
          <t>Renault</t>
        </is>
      </c>
      <c r="D97" s="19" t="n">
        <v>2</v>
      </c>
      <c r="E97" s="14" t="n">
        <v>105120</v>
      </c>
      <c r="F97" s="14">
        <f>D97*E97</f>
        <v/>
      </c>
      <c r="G97" s="14" t="n">
        <v>78840</v>
      </c>
      <c r="H97" s="14" t="n">
        <v>125093</v>
      </c>
      <c r="I97" s="14" t="n">
        <v>10007</v>
      </c>
      <c r="J97" s="14" t="n">
        <v>125093</v>
      </c>
      <c r="K97" s="14" t="n"/>
      <c r="L97" s="14" t="n">
        <v>197900</v>
      </c>
      <c r="M97" s="14" t="n">
        <v>289600</v>
      </c>
      <c r="N97" s="14" t="n">
        <v>72807</v>
      </c>
      <c r="O97" s="14" t="n">
        <v>164507</v>
      </c>
      <c r="P97" s="14" t="n">
        <v>395800</v>
      </c>
      <c r="Q97" s="14" t="n">
        <v>579200</v>
      </c>
      <c r="R97" s="14" t="n">
        <v>20014</v>
      </c>
      <c r="S97" s="14" t="n">
        <v>250186</v>
      </c>
      <c r="T97" s="14" t="n">
        <v>145614</v>
      </c>
      <c r="U97" s="14" t="n">
        <v>329014</v>
      </c>
      <c r="V97" s="14">
        <f>ROUND((E97-G97)*D97,0)</f>
        <v/>
      </c>
    </row>
    <row r="98">
      <c r="A98" t="inlineStr">
        <is>
          <t>KTR-6015</t>
        </is>
      </c>
      <c r="B98" t="inlineStr">
        <is>
          <t>Terminal Dir Clio II-SY-Megane I-Kangoo-TW II IZQ</t>
        </is>
      </c>
      <c r="C98" t="inlineStr">
        <is>
          <t>Renault</t>
        </is>
      </c>
      <c r="D98" s="19" t="n">
        <v>2</v>
      </c>
      <c r="E98" s="14" t="n">
        <v>20810</v>
      </c>
      <c r="F98" s="14">
        <f>D98*E98</f>
        <v/>
      </c>
      <c r="G98" s="14" t="n">
        <v>15608</v>
      </c>
      <c r="H98" s="14" t="n">
        <v>24764</v>
      </c>
      <c r="I98" s="14" t="n">
        <v>1981</v>
      </c>
      <c r="J98" s="14" t="n">
        <v>24764</v>
      </c>
      <c r="K98" s="14" t="n"/>
      <c r="L98" s="14" t="n">
        <v>34300</v>
      </c>
      <c r="M98" s="14" t="n">
        <v>50100</v>
      </c>
      <c r="N98" s="14" t="n">
        <v>9536</v>
      </c>
      <c r="O98" s="14" t="n">
        <v>25336</v>
      </c>
      <c r="P98" s="14" t="n">
        <v>68600</v>
      </c>
      <c r="Q98" s="14" t="n">
        <v>100200</v>
      </c>
      <c r="R98" s="14" t="n">
        <v>3962</v>
      </c>
      <c r="S98" s="14" t="n">
        <v>49528</v>
      </c>
      <c r="T98" s="14" t="n">
        <v>19072</v>
      </c>
      <c r="U98" s="14" t="n">
        <v>50672</v>
      </c>
      <c r="V98" s="14">
        <f>ROUND((E98-G98)*D98,0)</f>
        <v/>
      </c>
    </row>
    <row r="99">
      <c r="A99" t="inlineStr">
        <is>
          <t>KTR-6016</t>
        </is>
      </c>
      <c r="B99" t="inlineStr">
        <is>
          <t>Terminal Dir Clio II-SY-Megane I-Kangoo-TW II DER</t>
        </is>
      </c>
      <c r="C99" t="inlineStr">
        <is>
          <t>Renault</t>
        </is>
      </c>
      <c r="D99" s="19" t="n">
        <v>2</v>
      </c>
      <c r="E99" s="14" t="n">
        <v>20810</v>
      </c>
      <c r="F99" s="14">
        <f>D99*E99</f>
        <v/>
      </c>
      <c r="G99" s="14" t="n">
        <v>15608</v>
      </c>
      <c r="H99" s="14" t="n">
        <v>24764</v>
      </c>
      <c r="I99" s="14" t="n">
        <v>1981</v>
      </c>
      <c r="J99" s="14" t="n">
        <v>24764</v>
      </c>
      <c r="K99" s="14" t="n"/>
      <c r="L99" s="14" t="n">
        <v>34300</v>
      </c>
      <c r="M99" s="14" t="n">
        <v>50100</v>
      </c>
      <c r="N99" s="14" t="n">
        <v>9536</v>
      </c>
      <c r="O99" s="14" t="n">
        <v>25336</v>
      </c>
      <c r="P99" s="14" t="n">
        <v>68600</v>
      </c>
      <c r="Q99" s="14" t="n">
        <v>100200</v>
      </c>
      <c r="R99" s="14" t="n">
        <v>3962</v>
      </c>
      <c r="S99" s="14" t="n">
        <v>49528</v>
      </c>
      <c r="T99" s="14" t="n">
        <v>19072</v>
      </c>
      <c r="U99" s="14" t="n">
        <v>50672</v>
      </c>
      <c r="V99" s="14">
        <f>ROUND((E99-G99)*D99,0)</f>
        <v/>
      </c>
    </row>
    <row r="100">
      <c r="A100" t="inlineStr">
        <is>
          <t>KSA-RE028</t>
        </is>
      </c>
      <c r="B100" t="inlineStr">
        <is>
          <t>Amortiguador Renault Kwid DEL (x2)</t>
        </is>
      </c>
      <c r="C100" t="inlineStr">
        <is>
          <t>Renault</t>
        </is>
      </c>
      <c r="D100" s="19" t="n">
        <v>2</v>
      </c>
      <c r="E100" s="14" t="n">
        <v>108060</v>
      </c>
      <c r="F100" s="14">
        <f>D100*E100</f>
        <v/>
      </c>
      <c r="G100" s="14" t="n">
        <v>81045</v>
      </c>
      <c r="H100" s="14" t="n">
        <v>128591</v>
      </c>
      <c r="I100" s="14" t="n">
        <v>10287</v>
      </c>
      <c r="J100" s="14" t="n">
        <v>128591</v>
      </c>
      <c r="K100" s="14" t="n"/>
      <c r="L100" s="14" t="n">
        <v>203400</v>
      </c>
      <c r="M100" s="14" t="n">
        <v>297700</v>
      </c>
      <c r="N100" s="14" t="n">
        <v>74809</v>
      </c>
      <c r="O100" s="14" t="n">
        <v>169109</v>
      </c>
      <c r="P100" s="14" t="n">
        <v>406800</v>
      </c>
      <c r="Q100" s="14" t="n">
        <v>595400</v>
      </c>
      <c r="R100" s="14" t="n">
        <v>20574</v>
      </c>
      <c r="S100" s="14" t="n">
        <v>257182</v>
      </c>
      <c r="T100" s="14" t="n">
        <v>149618</v>
      </c>
      <c r="U100" s="14" t="n">
        <v>338218</v>
      </c>
      <c r="V100" s="14">
        <f>ROUND((E100-G100)*D100,0)</f>
        <v/>
      </c>
    </row>
    <row r="101">
      <c r="A101" t="inlineStr">
        <is>
          <t>KSA-RE029</t>
        </is>
      </c>
      <c r="B101" t="inlineStr">
        <is>
          <t>Amortiguador Renault Kwid TRAS (x2)</t>
        </is>
      </c>
      <c r="C101" t="inlineStr">
        <is>
          <t>Renault</t>
        </is>
      </c>
      <c r="D101" s="19" t="n">
        <v>2</v>
      </c>
      <c r="E101" s="14" t="n">
        <v>64150</v>
      </c>
      <c r="F101" s="14">
        <f>D101*E101</f>
        <v/>
      </c>
      <c r="G101" s="14" t="n">
        <v>48113</v>
      </c>
      <c r="H101" s="14" t="n">
        <v>76338</v>
      </c>
      <c r="I101" s="14" t="n">
        <v>6107</v>
      </c>
      <c r="J101" s="14" t="n">
        <v>76338</v>
      </c>
      <c r="K101" s="14" t="n"/>
      <c r="L101" s="14" t="n">
        <v>112700</v>
      </c>
      <c r="M101" s="14" t="n">
        <v>164900</v>
      </c>
      <c r="N101" s="14" t="n">
        <v>36362</v>
      </c>
      <c r="O101" s="14" t="n">
        <v>88562</v>
      </c>
      <c r="P101" s="14" t="n">
        <v>225400</v>
      </c>
      <c r="Q101" s="14" t="n">
        <v>329800</v>
      </c>
      <c r="R101" s="14" t="n">
        <v>12214</v>
      </c>
      <c r="S101" s="14" t="n">
        <v>152676</v>
      </c>
      <c r="T101" s="14" t="n">
        <v>72724</v>
      </c>
      <c r="U101" s="14" t="n">
        <v>177124</v>
      </c>
      <c r="V101" s="14">
        <f>ROUND((E101-G101)*D101,0)</f>
        <v/>
      </c>
    </row>
    <row r="102">
      <c r="A102" t="inlineStr">
        <is>
          <t>KRE-6401</t>
        </is>
      </c>
      <c r="B102" t="inlineStr">
        <is>
          <t>Terminal Axial Swift 1.2 1.4 18-13</t>
        </is>
      </c>
      <c r="C102" t="inlineStr">
        <is>
          <t>Suzuki</t>
        </is>
      </c>
      <c r="D102" s="19" t="n">
        <v>2</v>
      </c>
      <c r="E102" s="14" t="n">
        <v>25650</v>
      </c>
      <c r="F102" s="14">
        <f>D102*E102</f>
        <v/>
      </c>
      <c r="G102" s="14" t="n">
        <v>19238</v>
      </c>
      <c r="H102" s="14" t="n">
        <v>30524</v>
      </c>
      <c r="I102" s="14" t="n">
        <v>2442</v>
      </c>
      <c r="J102" s="14" t="n">
        <v>30524</v>
      </c>
      <c r="K102" s="14" t="n"/>
      <c r="L102" s="14" t="n">
        <v>42200</v>
      </c>
      <c r="M102" s="14" t="n">
        <v>61800</v>
      </c>
      <c r="N102" s="14" t="n">
        <v>11676</v>
      </c>
      <c r="O102" s="14" t="n">
        <v>31276</v>
      </c>
      <c r="P102" s="14" t="n">
        <v>84400</v>
      </c>
      <c r="Q102" s="14" t="n">
        <v>123600</v>
      </c>
      <c r="R102" s="14" t="n">
        <v>4884</v>
      </c>
      <c r="S102" s="14" t="n">
        <v>61048</v>
      </c>
      <c r="T102" s="14" t="n">
        <v>23352</v>
      </c>
      <c r="U102" s="14" t="n">
        <v>62552</v>
      </c>
      <c r="V102" s="14">
        <f>ROUND((E102-G102)*D102,0)</f>
        <v/>
      </c>
    </row>
    <row r="103">
      <c r="A103" t="inlineStr">
        <is>
          <t>KSL-5151</t>
        </is>
      </c>
      <c r="B103" t="inlineStr">
        <is>
          <t>Bieleta Estab. Hilux Vigo 4x4 Fortuner-Prado Del IZQ</t>
        </is>
      </c>
      <c r="C103" t="inlineStr">
        <is>
          <t>Toyota</t>
        </is>
      </c>
      <c r="D103" s="19" t="n">
        <v>2</v>
      </c>
      <c r="E103" s="14" t="n">
        <v>24070</v>
      </c>
      <c r="F103" s="14">
        <f>D103*E103</f>
        <v/>
      </c>
      <c r="G103" s="14" t="n">
        <v>18053</v>
      </c>
      <c r="H103" s="14" t="n">
        <v>28643</v>
      </c>
      <c r="I103" s="14" t="n">
        <v>2291</v>
      </c>
      <c r="J103" s="14" t="n">
        <v>28643</v>
      </c>
      <c r="K103" s="14" t="n"/>
      <c r="L103" s="14" t="n">
        <v>39600</v>
      </c>
      <c r="M103" s="14" t="n">
        <v>58000</v>
      </c>
      <c r="N103" s="14" t="n">
        <v>10957</v>
      </c>
      <c r="O103" s="14" t="n">
        <v>29357</v>
      </c>
      <c r="P103" s="14" t="n">
        <v>79200</v>
      </c>
      <c r="Q103" s="14" t="n">
        <v>116000</v>
      </c>
      <c r="R103" s="14" t="n">
        <v>4582</v>
      </c>
      <c r="S103" s="14" t="n">
        <v>57286</v>
      </c>
      <c r="T103" s="14" t="n">
        <v>21914</v>
      </c>
      <c r="U103" s="14" t="n">
        <v>58714</v>
      </c>
      <c r="V103" s="14">
        <f>ROUND((E103-G103)*D103,0)</f>
        <v/>
      </c>
    </row>
    <row r="104">
      <c r="A104" t="inlineStr">
        <is>
          <t>KSL-5150</t>
        </is>
      </c>
      <c r="B104" t="inlineStr">
        <is>
          <t>Bieleta Estab. Hilux Vigo 4x4 Fortuner-Prado Del DER</t>
        </is>
      </c>
      <c r="C104" t="inlineStr">
        <is>
          <t>Toyota</t>
        </is>
      </c>
      <c r="D104" s="19" t="n">
        <v>2</v>
      </c>
      <c r="E104" s="14" t="n">
        <v>24070</v>
      </c>
      <c r="F104" s="14">
        <f>D104*E104</f>
        <v/>
      </c>
      <c r="G104" s="14" t="n">
        <v>18053</v>
      </c>
      <c r="H104" s="14" t="n">
        <v>28643</v>
      </c>
      <c r="I104" s="14" t="n">
        <v>2291</v>
      </c>
      <c r="J104" s="14" t="n">
        <v>28643</v>
      </c>
      <c r="K104" s="14" t="n"/>
      <c r="L104" s="14" t="n">
        <v>39600</v>
      </c>
      <c r="M104" s="14" t="n">
        <v>58000</v>
      </c>
      <c r="N104" s="14" t="n">
        <v>10957</v>
      </c>
      <c r="O104" s="14" t="n">
        <v>29357</v>
      </c>
      <c r="P104" s="14" t="n">
        <v>79200</v>
      </c>
      <c r="Q104" s="14" t="n">
        <v>116000</v>
      </c>
      <c r="R104" s="14" t="n">
        <v>4582</v>
      </c>
      <c r="S104" s="14" t="n">
        <v>57286</v>
      </c>
      <c r="T104" s="14" t="n">
        <v>21914</v>
      </c>
      <c r="U104" s="14" t="n">
        <v>58714</v>
      </c>
      <c r="V104" s="14">
        <f>ROUND((E104-G104)*D104,0)</f>
        <v/>
      </c>
    </row>
    <row r="105">
      <c r="A105" t="inlineStr">
        <is>
          <t>KRE-5206</t>
        </is>
      </c>
      <c r="B105" t="inlineStr">
        <is>
          <t>Terminal Axial Hilux Vigo 4x4 05 Fortuner-Revo</t>
        </is>
      </c>
      <c r="C105" t="inlineStr">
        <is>
          <t>Toyota</t>
        </is>
      </c>
      <c r="D105" s="19" t="n">
        <v>2</v>
      </c>
      <c r="E105" s="14" t="n">
        <v>27020</v>
      </c>
      <c r="F105" s="14">
        <f>D105*E105</f>
        <v/>
      </c>
      <c r="G105" s="14" t="n">
        <v>20265</v>
      </c>
      <c r="H105" s="14" t="n">
        <v>32154</v>
      </c>
      <c r="I105" s="14" t="n">
        <v>2572</v>
      </c>
      <c r="J105" s="14" t="n">
        <v>32154</v>
      </c>
      <c r="K105" s="14" t="n"/>
      <c r="L105" s="14" t="n">
        <v>44500</v>
      </c>
      <c r="M105" s="14" t="n">
        <v>65100</v>
      </c>
      <c r="N105" s="14" t="n">
        <v>12346</v>
      </c>
      <c r="O105" s="14" t="n">
        <v>32946</v>
      </c>
      <c r="P105" s="14" t="n">
        <v>89000</v>
      </c>
      <c r="Q105" s="14" t="n">
        <v>130200</v>
      </c>
      <c r="R105" s="14" t="n">
        <v>5144</v>
      </c>
      <c r="S105" s="14" t="n">
        <v>64308</v>
      </c>
      <c r="T105" s="14" t="n">
        <v>24692</v>
      </c>
      <c r="U105" s="14" t="n">
        <v>65892</v>
      </c>
      <c r="V105" s="14">
        <f>ROUND((E105-G105)*D105,0)</f>
        <v/>
      </c>
    </row>
    <row r="106">
      <c r="A106" t="inlineStr">
        <is>
          <t>KBJ-6108</t>
        </is>
      </c>
      <c r="B106" t="inlineStr">
        <is>
          <t>Rótula VW Golf 1.6 Jetta 1.8-2.0 DER</t>
        </is>
      </c>
      <c r="C106" t="inlineStr">
        <is>
          <t>Volkswagen</t>
        </is>
      </c>
      <c r="D106" s="19" t="n">
        <v>2</v>
      </c>
      <c r="E106" s="14" t="n">
        <v>28950</v>
      </c>
      <c r="F106" s="14">
        <f>D106*E106</f>
        <v/>
      </c>
      <c r="G106" s="14" t="n">
        <v>21713</v>
      </c>
      <c r="H106" s="14" t="n">
        <v>34450</v>
      </c>
      <c r="I106" s="14" t="n">
        <v>2756</v>
      </c>
      <c r="J106" s="14" t="n">
        <v>34450</v>
      </c>
      <c r="K106" s="14" t="n"/>
      <c r="L106" s="14" t="n">
        <v>47700</v>
      </c>
      <c r="M106" s="14" t="n">
        <v>69800</v>
      </c>
      <c r="N106" s="14" t="n">
        <v>13250</v>
      </c>
      <c r="O106" s="14" t="n">
        <v>35350</v>
      </c>
      <c r="P106" s="14" t="n">
        <v>95400</v>
      </c>
      <c r="Q106" s="14" t="n">
        <v>139600</v>
      </c>
      <c r="R106" s="14" t="n">
        <v>5512</v>
      </c>
      <c r="S106" s="14" t="n">
        <v>68900</v>
      </c>
      <c r="T106" s="14" t="n">
        <v>26500</v>
      </c>
      <c r="U106" s="14" t="n">
        <v>70700</v>
      </c>
      <c r="V106" s="14">
        <f>ROUND((E106-G106)*D106,0)</f>
        <v/>
      </c>
    </row>
    <row r="107">
      <c r="A107" t="inlineStr">
        <is>
          <t>KBJ-6109</t>
        </is>
      </c>
      <c r="B107" t="inlineStr">
        <is>
          <t>Rótula VW Golf 1.6 Jetta 1.8-2.0 IZQ</t>
        </is>
      </c>
      <c r="C107" t="inlineStr">
        <is>
          <t>Volkswagen</t>
        </is>
      </c>
      <c r="D107" s="19" t="n">
        <v>2</v>
      </c>
      <c r="E107" s="14" t="n">
        <v>27150</v>
      </c>
      <c r="F107" s="14">
        <f>D107*E107</f>
        <v/>
      </c>
      <c r="G107" s="14" t="n">
        <v>20363</v>
      </c>
      <c r="H107" s="14" t="n">
        <v>32308</v>
      </c>
      <c r="I107" s="14" t="n">
        <v>2585</v>
      </c>
      <c r="J107" s="14" t="n">
        <v>32308</v>
      </c>
      <c r="K107" s="14" t="n"/>
      <c r="L107" s="14" t="n">
        <v>44700</v>
      </c>
      <c r="M107" s="14" t="n">
        <v>65400</v>
      </c>
      <c r="N107" s="14" t="n">
        <v>12392</v>
      </c>
      <c r="O107" s="14" t="n">
        <v>33092</v>
      </c>
      <c r="P107" s="14" t="n">
        <v>89400</v>
      </c>
      <c r="Q107" s="14" t="n">
        <v>130800</v>
      </c>
      <c r="R107" s="14" t="n">
        <v>5170</v>
      </c>
      <c r="S107" s="14" t="n">
        <v>64616</v>
      </c>
      <c r="T107" s="14" t="n">
        <v>24784</v>
      </c>
      <c r="U107" s="14" t="n">
        <v>66184</v>
      </c>
      <c r="V107" s="14">
        <f>ROUND((E107-G107)*D107,0)</f>
        <v/>
      </c>
    </row>
    <row r="108">
      <c r="A108" t="inlineStr">
        <is>
          <t>KRE-6802</t>
        </is>
      </c>
      <c r="B108" t="inlineStr">
        <is>
          <t>Terminal Axial VW Golf IV DER</t>
        </is>
      </c>
      <c r="C108" t="inlineStr">
        <is>
          <t>Volkswagen</t>
        </is>
      </c>
      <c r="D108" s="19" t="n">
        <v>2</v>
      </c>
      <c r="E108" s="14" t="n">
        <v>24110</v>
      </c>
      <c r="F108" s="14">
        <f>D108*E108</f>
        <v/>
      </c>
      <c r="G108" s="14" t="n">
        <v>18083</v>
      </c>
      <c r="H108" s="14" t="n">
        <v>28691</v>
      </c>
      <c r="I108" s="14" t="n">
        <v>2295</v>
      </c>
      <c r="J108" s="14" t="n">
        <v>28691</v>
      </c>
      <c r="K108" s="14" t="n"/>
      <c r="L108" s="14" t="n">
        <v>39700</v>
      </c>
      <c r="M108" s="14" t="n">
        <v>58100</v>
      </c>
      <c r="N108" s="14" t="n">
        <v>11009</v>
      </c>
      <c r="O108" s="14" t="n">
        <v>29409</v>
      </c>
      <c r="P108" s="14" t="n">
        <v>79400</v>
      </c>
      <c r="Q108" s="14" t="n">
        <v>116200</v>
      </c>
      <c r="R108" s="14" t="n">
        <v>4590</v>
      </c>
      <c r="S108" s="14" t="n">
        <v>57382</v>
      </c>
      <c r="T108" s="14" t="n">
        <v>22018</v>
      </c>
      <c r="U108" s="14" t="n">
        <v>58818</v>
      </c>
      <c r="V108" s="14">
        <f>ROUND((E108-G108)*D108,0)</f>
        <v/>
      </c>
    </row>
    <row r="109">
      <c r="A109" t="inlineStr">
        <is>
          <t>KSL-6022</t>
        </is>
      </c>
      <c r="B109" t="inlineStr">
        <is>
          <t>Bieleta Estab. VW Golf-Jetta 03-00</t>
        </is>
      </c>
      <c r="C109" t="inlineStr">
        <is>
          <t>Volkswagen</t>
        </is>
      </c>
      <c r="D109" s="19" t="n">
        <v>2</v>
      </c>
      <c r="E109" s="14" t="n">
        <v>21520</v>
      </c>
      <c r="F109" s="14">
        <f>D109*E109</f>
        <v/>
      </c>
      <c r="G109" s="14" t="n">
        <v>16140</v>
      </c>
      <c r="H109" s="14" t="n">
        <v>25609</v>
      </c>
      <c r="I109" s="14" t="n">
        <v>2049</v>
      </c>
      <c r="J109" s="14" t="n">
        <v>25609</v>
      </c>
      <c r="K109" s="14" t="n"/>
      <c r="L109" s="14" t="n">
        <v>35400</v>
      </c>
      <c r="M109" s="14" t="n">
        <v>51900</v>
      </c>
      <c r="N109" s="14" t="n">
        <v>9791</v>
      </c>
      <c r="O109" s="14" t="n">
        <v>26291</v>
      </c>
      <c r="P109" s="14" t="n">
        <v>70800</v>
      </c>
      <c r="Q109" s="14" t="n">
        <v>103800</v>
      </c>
      <c r="R109" s="14" t="n">
        <v>4098</v>
      </c>
      <c r="S109" s="14" t="n">
        <v>51218</v>
      </c>
      <c r="T109" s="14" t="n">
        <v>19582</v>
      </c>
      <c r="U109" s="14" t="n">
        <v>52582</v>
      </c>
      <c r="V109" s="14">
        <f>ROUND((E109-G109)*D109,0)</f>
        <v/>
      </c>
    </row>
    <row r="110">
      <c r="A110" t="inlineStr">
        <is>
          <t>7700820028</t>
        </is>
      </c>
      <c r="B110" t="inlineStr">
        <is>
          <t>TIJERA DEL LH TWINGO</t>
        </is>
      </c>
      <c r="C110" t="inlineStr">
        <is>
          <t>Renault</t>
        </is>
      </c>
      <c r="D110" s="19" t="n">
        <v>1</v>
      </c>
      <c r="E110" s="14" t="n">
        <v>63026</v>
      </c>
      <c r="F110" s="14">
        <f>D110*E110</f>
        <v/>
      </c>
      <c r="G110" s="14" t="n">
        <v>56723</v>
      </c>
      <c r="H110" s="14" t="n">
        <v>75001</v>
      </c>
      <c r="I110" s="14" t="n">
        <v>6000</v>
      </c>
      <c r="J110" s="14" t="n">
        <v>75001</v>
      </c>
      <c r="K110" s="14" t="n"/>
      <c r="L110" s="14" t="n">
        <v>110700</v>
      </c>
      <c r="M110" s="14" t="n">
        <v>162000</v>
      </c>
      <c r="N110" s="14" t="n">
        <v>35699</v>
      </c>
      <c r="O110" s="14" t="n">
        <v>86999</v>
      </c>
      <c r="P110" s="14" t="n">
        <v>110700</v>
      </c>
      <c r="Q110" s="14" t="n">
        <v>162000</v>
      </c>
      <c r="R110" s="14" t="n">
        <v>6000</v>
      </c>
      <c r="S110" s="14" t="n">
        <v>75001</v>
      </c>
      <c r="T110" s="14" t="n">
        <v>35699</v>
      </c>
      <c r="U110" s="14" t="n">
        <v>86999</v>
      </c>
      <c r="V110" s="14">
        <f>ROUND((E110-G110)*D110,0)</f>
        <v/>
      </c>
    </row>
    <row r="111">
      <c r="A111" t="inlineStr">
        <is>
          <t>7700820029</t>
        </is>
      </c>
      <c r="B111" t="inlineStr">
        <is>
          <t>TIJERA DEL LH TWINGO</t>
        </is>
      </c>
      <c r="C111" t="inlineStr">
        <is>
          <t>Renault</t>
        </is>
      </c>
      <c r="D111" s="19" t="n">
        <v>1</v>
      </c>
      <c r="E111" s="14" t="n">
        <v>63026</v>
      </c>
      <c r="F111" s="14">
        <f>D111*E111</f>
        <v/>
      </c>
      <c r="G111" s="14" t="n">
        <v>56723</v>
      </c>
      <c r="H111" s="14" t="n">
        <v>75001</v>
      </c>
      <c r="I111" s="14" t="n">
        <v>6000</v>
      </c>
      <c r="J111" s="14" t="n">
        <v>75001</v>
      </c>
      <c r="K111" s="14" t="n"/>
      <c r="L111" s="14" t="n">
        <v>110700</v>
      </c>
      <c r="M111" s="14" t="n">
        <v>162000</v>
      </c>
      <c r="N111" s="14" t="n">
        <v>35699</v>
      </c>
      <c r="O111" s="14" t="n">
        <v>86999</v>
      </c>
      <c r="P111" s="14" t="n">
        <v>110700</v>
      </c>
      <c r="Q111" s="14" t="n">
        <v>162000</v>
      </c>
      <c r="R111" s="14" t="n">
        <v>6000</v>
      </c>
      <c r="S111" s="14" t="n">
        <v>75001</v>
      </c>
      <c r="T111" s="14" t="n">
        <v>35699</v>
      </c>
      <c r="U111" s="14" t="n">
        <v>86999</v>
      </c>
      <c r="V111" s="14">
        <f>ROUND((E111-G111)*D111,0)</f>
        <v/>
      </c>
    </row>
    <row r="112">
      <c r="A112" t="inlineStr">
        <is>
          <t>54501-1697R</t>
        </is>
      </c>
      <c r="B112" t="inlineStr">
        <is>
          <t>TIJERA DELANTERA RH TWINGO</t>
        </is>
      </c>
      <c r="C112" t="inlineStr">
        <is>
          <t>Renault</t>
        </is>
      </c>
      <c r="D112" s="19" t="n">
        <v>1</v>
      </c>
      <c r="E112" s="14" t="n">
        <v>71428</v>
      </c>
      <c r="F112" s="14">
        <f>D112*E112</f>
        <v/>
      </c>
      <c r="G112" s="14" t="n">
        <v>64286</v>
      </c>
      <c r="H112" s="14" t="n">
        <v>84999</v>
      </c>
      <c r="I112" s="14" t="n">
        <v>6800</v>
      </c>
      <c r="J112" s="14" t="n">
        <v>84999</v>
      </c>
      <c r="K112" s="14" t="n"/>
      <c r="L112" s="14" t="n">
        <v>134500</v>
      </c>
      <c r="M112" s="14" t="n">
        <v>196700</v>
      </c>
      <c r="N112" s="14" t="n">
        <v>49501</v>
      </c>
      <c r="O112" s="14" t="n">
        <v>111701</v>
      </c>
      <c r="P112" s="14" t="n">
        <v>134500</v>
      </c>
      <c r="Q112" s="14" t="n">
        <v>196700</v>
      </c>
      <c r="R112" s="14" t="n">
        <v>6800</v>
      </c>
      <c r="S112" s="14" t="n">
        <v>84999</v>
      </c>
      <c r="T112" s="14" t="n">
        <v>49501</v>
      </c>
      <c r="U112" s="14" t="n">
        <v>111701</v>
      </c>
      <c r="V112" s="14">
        <f>ROUND((E112-G112)*D112,0)</f>
        <v/>
      </c>
    </row>
    <row r="113">
      <c r="A113" t="inlineStr">
        <is>
          <t>545001138R</t>
        </is>
      </c>
      <c r="B113" t="inlineStr">
        <is>
          <t>TIJERA DELANTERA RH DUSTER/OROCH</t>
        </is>
      </c>
      <c r="C113" t="inlineStr">
        <is>
          <t>Renault</t>
        </is>
      </c>
      <c r="D113" s="19" t="n">
        <v>1</v>
      </c>
      <c r="E113" s="14" t="n">
        <v>71428</v>
      </c>
      <c r="F113" s="14">
        <f>D113*E113</f>
        <v/>
      </c>
      <c r="G113" s="14" t="n">
        <v>64286</v>
      </c>
      <c r="H113" s="14" t="n">
        <v>84999</v>
      </c>
      <c r="I113" s="14" t="n">
        <v>6800</v>
      </c>
      <c r="J113" s="14" t="n">
        <v>84999</v>
      </c>
      <c r="K113" s="14" t="n"/>
      <c r="L113" s="14" t="n">
        <v>134500</v>
      </c>
      <c r="M113" s="14" t="n">
        <v>196700</v>
      </c>
      <c r="N113" s="14" t="n">
        <v>49501</v>
      </c>
      <c r="O113" s="14" t="n">
        <v>111701</v>
      </c>
      <c r="P113" s="14" t="n">
        <v>134500</v>
      </c>
      <c r="Q113" s="14" t="n">
        <v>196700</v>
      </c>
      <c r="R113" s="14" t="n">
        <v>6800</v>
      </c>
      <c r="S113" s="14" t="n">
        <v>84999</v>
      </c>
      <c r="T113" s="14" t="n">
        <v>49501</v>
      </c>
      <c r="U113" s="14" t="n">
        <v>111701</v>
      </c>
      <c r="V113" s="14">
        <f>ROUND((E113-G113)*D113,0)</f>
        <v/>
      </c>
    </row>
    <row r="114">
      <c r="A114" t="inlineStr">
        <is>
          <t>54500A269R</t>
        </is>
      </c>
      <c r="B114" t="inlineStr">
        <is>
          <t>TIJERA DEL LH DUSTER/OROCH</t>
        </is>
      </c>
      <c r="C114" t="inlineStr">
        <is>
          <t>Renault</t>
        </is>
      </c>
      <c r="D114" s="19" t="n">
        <v>1</v>
      </c>
      <c r="E114" s="14" t="n">
        <v>58824</v>
      </c>
      <c r="F114" s="14">
        <f>D114*E114</f>
        <v/>
      </c>
      <c r="G114" s="14" t="n">
        <v>52942</v>
      </c>
      <c r="H114" s="14" t="n">
        <v>70001</v>
      </c>
      <c r="I114" s="14" t="n">
        <v>5600</v>
      </c>
      <c r="J114" s="14" t="n">
        <v>70001</v>
      </c>
      <c r="K114" s="14" t="n"/>
      <c r="L114" s="14" t="n">
        <v>103300</v>
      </c>
      <c r="M114" s="14" t="n">
        <v>151200</v>
      </c>
      <c r="N114" s="14" t="n">
        <v>33299</v>
      </c>
      <c r="O114" s="14" t="n">
        <v>81199</v>
      </c>
      <c r="P114" s="14" t="n">
        <v>103300</v>
      </c>
      <c r="Q114" s="14" t="n">
        <v>151200</v>
      </c>
      <c r="R114" s="14" t="n">
        <v>5600</v>
      </c>
      <c r="S114" s="14" t="n">
        <v>70001</v>
      </c>
      <c r="T114" s="14" t="n">
        <v>33299</v>
      </c>
      <c r="U114" s="14" t="n">
        <v>81199</v>
      </c>
      <c r="V114" s="14">
        <f>ROUND((E114-G114)*D114,0)</f>
        <v/>
      </c>
    </row>
    <row r="115">
      <c r="A115" t="inlineStr">
        <is>
          <t>54500A268R</t>
        </is>
      </c>
      <c r="B115" t="inlineStr">
        <is>
          <t>TIJERA DEL RH LOGAN/SANDERO/2016</t>
        </is>
      </c>
      <c r="C115" t="inlineStr">
        <is>
          <t>Renault</t>
        </is>
      </c>
      <c r="D115" s="19" t="n">
        <v>1</v>
      </c>
      <c r="E115" s="14" t="n">
        <v>58824</v>
      </c>
      <c r="F115" s="14">
        <f>D115*E115</f>
        <v/>
      </c>
      <c r="G115" s="14" t="n">
        <v>52942</v>
      </c>
      <c r="H115" s="14" t="n">
        <v>70001</v>
      </c>
      <c r="I115" s="14" t="n">
        <v>5600</v>
      </c>
      <c r="J115" s="14" t="n">
        <v>70001</v>
      </c>
      <c r="K115" s="14" t="n"/>
      <c r="L115" s="14" t="n">
        <v>103300</v>
      </c>
      <c r="M115" s="14" t="n">
        <v>151200</v>
      </c>
      <c r="N115" s="14" t="n">
        <v>33299</v>
      </c>
      <c r="O115" s="14" t="n">
        <v>81199</v>
      </c>
      <c r="P115" s="14" t="n">
        <v>103300</v>
      </c>
      <c r="Q115" s="14" t="n">
        <v>151200</v>
      </c>
      <c r="R115" s="14" t="n">
        <v>5600</v>
      </c>
      <c r="S115" s="14" t="n">
        <v>70001</v>
      </c>
      <c r="T115" s="14" t="n">
        <v>33299</v>
      </c>
      <c r="U115" s="14" t="n">
        <v>81199</v>
      </c>
      <c r="V115" s="14">
        <f>ROUND((E115-G115)*D115,0)</f>
        <v/>
      </c>
    </row>
    <row r="116">
      <c r="A116" t="inlineStr">
        <is>
          <t>545010294R</t>
        </is>
      </c>
      <c r="B116" t="inlineStr">
        <is>
          <t>TIJERA DEL LH LOGAN II/SANDERO II</t>
        </is>
      </c>
      <c r="C116" t="inlineStr">
        <is>
          <t>Renault</t>
        </is>
      </c>
      <c r="D116" s="19" t="n">
        <v>1</v>
      </c>
      <c r="E116" s="14" t="n">
        <v>58824</v>
      </c>
      <c r="F116" s="14">
        <f>D116*E116</f>
        <v/>
      </c>
      <c r="G116" s="14" t="n">
        <v>52942</v>
      </c>
      <c r="H116" s="14" t="n">
        <v>70001</v>
      </c>
      <c r="I116" s="14" t="n">
        <v>5600</v>
      </c>
      <c r="J116" s="14" t="n">
        <v>70001</v>
      </c>
      <c r="K116" s="14" t="n"/>
      <c r="L116" s="14" t="n">
        <v>103300</v>
      </c>
      <c r="M116" s="14" t="n">
        <v>151200</v>
      </c>
      <c r="N116" s="14" t="n">
        <v>33299</v>
      </c>
      <c r="O116" s="14" t="n">
        <v>81199</v>
      </c>
      <c r="P116" s="14" t="n">
        <v>103300</v>
      </c>
      <c r="Q116" s="14" t="n">
        <v>151200</v>
      </c>
      <c r="R116" s="14" t="n">
        <v>5600</v>
      </c>
      <c r="S116" s="14" t="n">
        <v>70001</v>
      </c>
      <c r="T116" s="14" t="n">
        <v>33299</v>
      </c>
      <c r="U116" s="14" t="n">
        <v>81199</v>
      </c>
      <c r="V116" s="14">
        <f>ROUND((E116-G116)*D116,0)</f>
        <v/>
      </c>
    </row>
    <row r="117">
      <c r="A117" t="inlineStr">
        <is>
          <t>545004529R</t>
        </is>
      </c>
      <c r="B117" t="inlineStr">
        <is>
          <t>TIJERA DEL LH LOGAN II/SANDERO II</t>
        </is>
      </c>
      <c r="C117" t="inlineStr">
        <is>
          <t>Renault</t>
        </is>
      </c>
      <c r="D117" s="19" t="n">
        <v>1</v>
      </c>
      <c r="E117" s="14" t="n">
        <v>58824</v>
      </c>
      <c r="F117" s="14">
        <f>D117*E117</f>
        <v/>
      </c>
      <c r="G117" s="14" t="n">
        <v>52942</v>
      </c>
      <c r="H117" s="14" t="n">
        <v>70001</v>
      </c>
      <c r="I117" s="14" t="n">
        <v>5600</v>
      </c>
      <c r="J117" s="14" t="n">
        <v>70001</v>
      </c>
      <c r="K117" s="14" t="n"/>
      <c r="L117" s="14" t="n">
        <v>103300</v>
      </c>
      <c r="M117" s="14" t="n">
        <v>151200</v>
      </c>
      <c r="N117" s="14" t="n">
        <v>33299</v>
      </c>
      <c r="O117" s="14" t="n">
        <v>81199</v>
      </c>
      <c r="P117" s="14" t="n">
        <v>103300</v>
      </c>
      <c r="Q117" s="14" t="n">
        <v>151200</v>
      </c>
      <c r="R117" s="14" t="n">
        <v>5600</v>
      </c>
      <c r="S117" s="14" t="n">
        <v>70001</v>
      </c>
      <c r="T117" s="14" t="n">
        <v>33299</v>
      </c>
      <c r="U117" s="14" t="n">
        <v>81199</v>
      </c>
      <c r="V117" s="14">
        <f>ROUND((E117-G117)*D117,0)</f>
        <v/>
      </c>
    </row>
    <row r="118">
      <c r="A118" t="inlineStr">
        <is>
          <t>54501-0000M</t>
        </is>
      </c>
      <c r="B118" t="inlineStr">
        <is>
          <t>TIJERA DEL LH CLIO II/SYMBOL</t>
        </is>
      </c>
      <c r="C118" t="inlineStr">
        <is>
          <t>Renault</t>
        </is>
      </c>
      <c r="D118" s="19" t="n">
        <v>1</v>
      </c>
      <c r="E118" s="14" t="n">
        <v>58824</v>
      </c>
      <c r="F118" s="14">
        <f>D118*E118</f>
        <v/>
      </c>
      <c r="G118" s="14" t="n">
        <v>52942</v>
      </c>
      <c r="H118" s="14" t="n">
        <v>70001</v>
      </c>
      <c r="I118" s="14" t="n">
        <v>5600</v>
      </c>
      <c r="J118" s="14" t="n">
        <v>70001</v>
      </c>
      <c r="K118" s="14" t="n"/>
      <c r="L118" s="14" t="n">
        <v>103300</v>
      </c>
      <c r="M118" s="14" t="n">
        <v>151200</v>
      </c>
      <c r="N118" s="14" t="n">
        <v>33299</v>
      </c>
      <c r="O118" s="14" t="n">
        <v>81199</v>
      </c>
      <c r="P118" s="14" t="n">
        <v>103300</v>
      </c>
      <c r="Q118" s="14" t="n">
        <v>151200</v>
      </c>
      <c r="R118" s="14" t="n">
        <v>5600</v>
      </c>
      <c r="S118" s="14" t="n">
        <v>70001</v>
      </c>
      <c r="T118" s="14" t="n">
        <v>33299</v>
      </c>
      <c r="U118" s="14" t="n">
        <v>81199</v>
      </c>
      <c r="V118" s="14">
        <f>ROUND((E118-G118)*D118,0)</f>
        <v/>
      </c>
    </row>
    <row r="119">
      <c r="A119" t="inlineStr">
        <is>
          <t>5450-0000M</t>
        </is>
      </c>
      <c r="B119" t="inlineStr">
        <is>
          <t>TIJERA DEL RH CLIO II/SYMBOL</t>
        </is>
      </c>
      <c r="C119" t="inlineStr">
        <is>
          <t>Renault</t>
        </is>
      </c>
      <c r="D119" s="19" t="n">
        <v>1</v>
      </c>
      <c r="E119" s="14" t="n">
        <v>58824</v>
      </c>
      <c r="F119" s="14">
        <f>D119*E119</f>
        <v/>
      </c>
      <c r="G119" s="14" t="n">
        <v>52942</v>
      </c>
      <c r="H119" s="14" t="n">
        <v>70001</v>
      </c>
      <c r="I119" s="14" t="n">
        <v>5600</v>
      </c>
      <c r="J119" s="14" t="n">
        <v>70001</v>
      </c>
      <c r="K119" s="14" t="n"/>
      <c r="L119" s="14" t="n">
        <v>103300</v>
      </c>
      <c r="M119" s="14" t="n">
        <v>151200</v>
      </c>
      <c r="N119" s="14" t="n">
        <v>33299</v>
      </c>
      <c r="O119" s="14" t="n">
        <v>81199</v>
      </c>
      <c r="P119" s="14" t="n">
        <v>103300</v>
      </c>
      <c r="Q119" s="14" t="n">
        <v>151200</v>
      </c>
      <c r="R119" s="14" t="n">
        <v>5600</v>
      </c>
      <c r="S119" s="14" t="n">
        <v>70001</v>
      </c>
      <c r="T119" s="14" t="n">
        <v>33299</v>
      </c>
      <c r="U119" s="14" t="n">
        <v>81199</v>
      </c>
      <c r="V119" s="14">
        <f>ROUND((E119-G119)*D119,0)</f>
        <v/>
      </c>
    </row>
    <row r="120">
      <c r="A120" t="inlineStr">
        <is>
          <t>96535081</t>
        </is>
      </c>
      <c r="B120" t="inlineStr">
        <is>
          <t>TIJERA LH AVEO/SAIL</t>
        </is>
      </c>
      <c r="C120" t="inlineStr">
        <is>
          <t>Chevrolet</t>
        </is>
      </c>
      <c r="D120" s="19" t="n">
        <v>1</v>
      </c>
      <c r="E120" s="14" t="n">
        <v>42016</v>
      </c>
      <c r="F120" s="14">
        <f>D120*E120</f>
        <v/>
      </c>
      <c r="G120" s="14" t="n">
        <v>37815</v>
      </c>
      <c r="H120" s="14" t="n">
        <v>49999</v>
      </c>
      <c r="I120" s="14" t="n">
        <v>4000</v>
      </c>
      <c r="J120" s="14" t="n">
        <v>49999</v>
      </c>
      <c r="K120" s="14" t="n"/>
      <c r="L120" s="14" t="n">
        <v>73800</v>
      </c>
      <c r="M120" s="14" t="n">
        <v>108000</v>
      </c>
      <c r="N120" s="14" t="n">
        <v>23801</v>
      </c>
      <c r="O120" s="14" t="n">
        <v>58001</v>
      </c>
      <c r="P120" s="14" t="n">
        <v>73800</v>
      </c>
      <c r="Q120" s="14" t="n">
        <v>108000</v>
      </c>
      <c r="R120" s="14" t="n">
        <v>4000</v>
      </c>
      <c r="S120" s="14" t="n">
        <v>49999</v>
      </c>
      <c r="T120" s="14" t="n">
        <v>23801</v>
      </c>
      <c r="U120" s="14" t="n">
        <v>58001</v>
      </c>
      <c r="V120" s="14">
        <f>ROUND((E120-G120)*D120,0)</f>
        <v/>
      </c>
    </row>
    <row r="121">
      <c r="A121" t="inlineStr">
        <is>
          <t>96535082</t>
        </is>
      </c>
      <c r="B121" t="inlineStr">
        <is>
          <t>TIJERA RH AVEO/SAIL</t>
        </is>
      </c>
      <c r="C121" t="inlineStr">
        <is>
          <t>Chevrolet</t>
        </is>
      </c>
      <c r="D121" s="19" t="n">
        <v>1</v>
      </c>
      <c r="E121" s="14" t="n">
        <v>42016</v>
      </c>
      <c r="F121" s="14">
        <f>D121*E121</f>
        <v/>
      </c>
      <c r="G121" s="14" t="n">
        <v>37815</v>
      </c>
      <c r="H121" s="14" t="n">
        <v>49999</v>
      </c>
      <c r="I121" s="14" t="n">
        <v>4000</v>
      </c>
      <c r="J121" s="14" t="n">
        <v>49999</v>
      </c>
      <c r="K121" s="14" t="n"/>
      <c r="L121" s="14" t="n">
        <v>73800</v>
      </c>
      <c r="M121" s="14" t="n">
        <v>108000</v>
      </c>
      <c r="N121" s="14" t="n">
        <v>23801</v>
      </c>
      <c r="O121" s="14" t="n">
        <v>58001</v>
      </c>
      <c r="P121" s="14" t="n">
        <v>73800</v>
      </c>
      <c r="Q121" s="14" t="n">
        <v>108000</v>
      </c>
      <c r="R121" s="14" t="n">
        <v>4000</v>
      </c>
      <c r="S121" s="14" t="n">
        <v>49999</v>
      </c>
      <c r="T121" s="14" t="n">
        <v>23801</v>
      </c>
      <c r="U121" s="14" t="n">
        <v>58001</v>
      </c>
      <c r="V121" s="14">
        <f>ROUND((E121-G121)*D121,0)</f>
        <v/>
      </c>
    </row>
    <row r="122">
      <c r="A122" t="inlineStr">
        <is>
          <t>2595128</t>
        </is>
      </c>
      <c r="B122" t="inlineStr">
        <is>
          <t>TIJERA DEL RH CAPTIVA</t>
        </is>
      </c>
      <c r="C122" t="inlineStr">
        <is>
          <t>Chevrolet</t>
        </is>
      </c>
      <c r="D122" s="19" t="n">
        <v>1</v>
      </c>
      <c r="E122" s="14" t="n">
        <v>117647</v>
      </c>
      <c r="F122" s="14">
        <f>D122*E122</f>
        <v/>
      </c>
      <c r="G122" s="14" t="n">
        <v>105882</v>
      </c>
      <c r="H122" s="14" t="n">
        <v>140000</v>
      </c>
      <c r="I122" s="14" t="n">
        <v>11200</v>
      </c>
      <c r="J122" s="14" t="n">
        <v>140000</v>
      </c>
      <c r="K122" s="14" t="n"/>
      <c r="L122" s="14" t="n">
        <v>221500</v>
      </c>
      <c r="M122" s="14" t="n">
        <v>324100</v>
      </c>
      <c r="N122" s="14" t="n">
        <v>81500</v>
      </c>
      <c r="O122" s="14" t="n">
        <v>184100</v>
      </c>
      <c r="P122" s="14" t="n">
        <v>221500</v>
      </c>
      <c r="Q122" s="14" t="n">
        <v>324100</v>
      </c>
      <c r="R122" s="14" t="n">
        <v>11200</v>
      </c>
      <c r="S122" s="14" t="n">
        <v>140000</v>
      </c>
      <c r="T122" s="14" t="n">
        <v>81500</v>
      </c>
      <c r="U122" s="14" t="n">
        <v>184100</v>
      </c>
      <c r="V122" s="14">
        <f>ROUND((E122-G122)*D122,0)</f>
        <v/>
      </c>
    </row>
    <row r="123">
      <c r="A123" t="inlineStr">
        <is>
          <t>96819162</t>
        </is>
      </c>
      <c r="B123" t="inlineStr">
        <is>
          <t>TIJERA DEL LH CAPTIVA</t>
        </is>
      </c>
      <c r="C123" t="inlineStr">
        <is>
          <t>Chevrolet</t>
        </is>
      </c>
      <c r="D123" s="19" t="n">
        <v>1</v>
      </c>
      <c r="E123" s="14" t="n">
        <v>117647</v>
      </c>
      <c r="F123" s="14">
        <f>D123*E123</f>
        <v/>
      </c>
      <c r="G123" s="14" t="n">
        <v>105882</v>
      </c>
      <c r="H123" s="14" t="n">
        <v>140000</v>
      </c>
      <c r="I123" s="14" t="n">
        <v>11200</v>
      </c>
      <c r="J123" s="14" t="n">
        <v>140000</v>
      </c>
      <c r="K123" s="14" t="n"/>
      <c r="L123" s="14" t="n">
        <v>221500</v>
      </c>
      <c r="M123" s="14" t="n">
        <v>324100</v>
      </c>
      <c r="N123" s="14" t="n">
        <v>81500</v>
      </c>
      <c r="O123" s="14" t="n">
        <v>184100</v>
      </c>
      <c r="P123" s="14" t="n">
        <v>221500</v>
      </c>
      <c r="Q123" s="14" t="n">
        <v>324100</v>
      </c>
      <c r="R123" s="14" t="n">
        <v>11200</v>
      </c>
      <c r="S123" s="14" t="n">
        <v>140000</v>
      </c>
      <c r="T123" s="14" t="n">
        <v>81500</v>
      </c>
      <c r="U123" s="14" t="n">
        <v>184100</v>
      </c>
      <c r="V123" s="14">
        <f>ROUND((E123-G123)*D123,0)</f>
        <v/>
      </c>
    </row>
    <row r="124">
      <c r="A124" t="inlineStr">
        <is>
          <t>B32H-34-350</t>
        </is>
      </c>
      <c r="B124" t="inlineStr">
        <is>
          <t>TIJERA DEL LH MAZDA 3</t>
        </is>
      </c>
      <c r="C124" t="inlineStr">
        <is>
          <t>Mazda</t>
        </is>
      </c>
      <c r="D124" s="19" t="n">
        <v>1</v>
      </c>
      <c r="E124" s="14" t="n">
        <v>100840</v>
      </c>
      <c r="F124" s="14">
        <f>D124*E124</f>
        <v/>
      </c>
      <c r="G124" s="14" t="n">
        <v>90756</v>
      </c>
      <c r="H124" s="14" t="n">
        <v>120000</v>
      </c>
      <c r="I124" s="14" t="n">
        <v>9600</v>
      </c>
      <c r="J124" s="14" t="n">
        <v>120000</v>
      </c>
      <c r="K124" s="14" t="n"/>
      <c r="L124" s="14" t="n">
        <v>189800</v>
      </c>
      <c r="M124" s="14" t="n">
        <v>277800</v>
      </c>
      <c r="N124" s="14" t="n">
        <v>69800</v>
      </c>
      <c r="O124" s="14" t="n">
        <v>157800</v>
      </c>
      <c r="P124" s="14" t="n">
        <v>189800</v>
      </c>
      <c r="Q124" s="14" t="n">
        <v>277800</v>
      </c>
      <c r="R124" s="14" t="n">
        <v>9600</v>
      </c>
      <c r="S124" s="14" t="n">
        <v>120000</v>
      </c>
      <c r="T124" s="14" t="n">
        <v>69800</v>
      </c>
      <c r="U124" s="14" t="n">
        <v>157800</v>
      </c>
      <c r="V124" s="14">
        <f>ROUND((E124-G124)*D124,0)</f>
        <v/>
      </c>
    </row>
    <row r="125">
      <c r="A125" t="inlineStr">
        <is>
          <t>B32H-34-300</t>
        </is>
      </c>
      <c r="B125" t="inlineStr">
        <is>
          <t>TIJERA DEL RH MAZDA 3</t>
        </is>
      </c>
      <c r="C125" t="inlineStr">
        <is>
          <t>Mazda</t>
        </is>
      </c>
      <c r="D125" s="19" t="n">
        <v>1</v>
      </c>
      <c r="E125" s="14" t="n">
        <v>100840</v>
      </c>
      <c r="F125" s="14">
        <f>D125*E125</f>
        <v/>
      </c>
      <c r="G125" s="14" t="n">
        <v>90756</v>
      </c>
      <c r="H125" s="14" t="n">
        <v>120000</v>
      </c>
      <c r="I125" s="14" t="n">
        <v>9600</v>
      </c>
      <c r="J125" s="14" t="n">
        <v>120000</v>
      </c>
      <c r="K125" s="14" t="n"/>
      <c r="L125" s="14" t="n">
        <v>189800</v>
      </c>
      <c r="M125" s="14" t="n">
        <v>277800</v>
      </c>
      <c r="N125" s="14" t="n">
        <v>69800</v>
      </c>
      <c r="O125" s="14" t="n">
        <v>157800</v>
      </c>
      <c r="P125" s="14" t="n">
        <v>189800</v>
      </c>
      <c r="Q125" s="14" t="n">
        <v>277800</v>
      </c>
      <c r="R125" s="14" t="n">
        <v>9600</v>
      </c>
      <c r="S125" s="14" t="n">
        <v>120000</v>
      </c>
      <c r="T125" s="14" t="n">
        <v>69800</v>
      </c>
      <c r="U125" s="14" t="n">
        <v>157800</v>
      </c>
      <c r="V125" s="14">
        <f>ROUND((E125-G125)*D125,0)</f>
        <v/>
      </c>
    </row>
    <row r="126">
      <c r="A126" t="inlineStr">
        <is>
          <t>← NUEVO</t>
        </is>
      </c>
      <c r="D126" s="19" t="n">
        <v>0</v>
      </c>
      <c r="E126" s="14" t="n"/>
      <c r="F126" s="14">
        <f>D126*E126</f>
        <v/>
      </c>
      <c r="G126" s="14" t="n"/>
      <c r="H126" s="14" t="n"/>
      <c r="I126" s="14" t="n"/>
      <c r="J126" s="14" t="n"/>
      <c r="K126" s="14" t="n"/>
      <c r="L126" s="14" t="n"/>
      <c r="M126" s="14" t="n"/>
      <c r="N126" s="14" t="n"/>
      <c r="O126" s="14" t="n"/>
      <c r="P126" s="14">
        <f>D126*L126</f>
        <v/>
      </c>
      <c r="Q126" s="14">
        <f>D126*M126</f>
        <v/>
      </c>
      <c r="R126" s="14">
        <f>IF(I126&gt;0,I126*D126,"")</f>
        <v/>
      </c>
      <c r="S126" s="14">
        <f>IF(J126&gt;0,J126*D126,"")</f>
        <v/>
      </c>
      <c r="T126" s="14">
        <f>IF(S126&gt;0,P126-S126,"")</f>
        <v/>
      </c>
      <c r="U126" s="14">
        <f>IF(S126&gt;0,Q126-S126,"")</f>
        <v/>
      </c>
      <c r="V126" s="14">
        <f>ROUND((E126-G126)*D126,0)</f>
        <v/>
      </c>
    </row>
    <row r="127">
      <c r="D127" s="19" t="n">
        <v>0</v>
      </c>
      <c r="E127" s="14" t="n"/>
      <c r="F127" s="14">
        <f>D127*E127</f>
        <v/>
      </c>
      <c r="G127" s="14" t="n"/>
      <c r="H127" s="14" t="n"/>
      <c r="I127" s="14" t="n"/>
      <c r="J127" s="14" t="n"/>
      <c r="K127" s="14" t="n"/>
      <c r="L127" s="14" t="n"/>
      <c r="M127" s="14" t="n"/>
      <c r="N127" s="14" t="n"/>
      <c r="O127" s="14" t="n"/>
      <c r="P127" s="14">
        <f>D127*L127</f>
        <v/>
      </c>
      <c r="Q127" s="14">
        <f>D127*M127</f>
        <v/>
      </c>
      <c r="R127" s="14">
        <f>IF(I127&gt;0,I127*D127,"")</f>
        <v/>
      </c>
      <c r="S127" s="14">
        <f>IF(J127&gt;0,J127*D127,"")</f>
        <v/>
      </c>
      <c r="T127" s="14">
        <f>IF(S127&gt;0,P127-S127,"")</f>
        <v/>
      </c>
      <c r="U127" s="14">
        <f>IF(S127&gt;0,Q127-S127,"")</f>
        <v/>
      </c>
      <c r="V127" s="14">
        <f>ROUND((E127-G127)*D127,0)</f>
        <v/>
      </c>
    </row>
    <row r="128">
      <c r="D128" s="19" t="n">
        <v>0</v>
      </c>
      <c r="E128" s="14" t="n"/>
      <c r="F128" s="14">
        <f>D128*E128</f>
        <v/>
      </c>
      <c r="G128" s="14" t="n"/>
      <c r="H128" s="14" t="n"/>
      <c r="I128" s="14" t="n"/>
      <c r="J128" s="14" t="n"/>
      <c r="K128" s="14" t="n"/>
      <c r="L128" s="14" t="n"/>
      <c r="M128" s="14" t="n"/>
      <c r="N128" s="14" t="n"/>
      <c r="O128" s="14" t="n"/>
      <c r="P128" s="14">
        <f>D128*L128</f>
        <v/>
      </c>
      <c r="Q128" s="14">
        <f>D128*M128</f>
        <v/>
      </c>
      <c r="R128" s="14">
        <f>IF(I128&gt;0,I128*D128,"")</f>
        <v/>
      </c>
      <c r="S128" s="14">
        <f>IF(J128&gt;0,J128*D128,"")</f>
        <v/>
      </c>
      <c r="T128" s="14">
        <f>IF(S128&gt;0,P128-S128,"")</f>
        <v/>
      </c>
      <c r="U128" s="14">
        <f>IF(S128&gt;0,Q128-S128,"")</f>
        <v/>
      </c>
      <c r="V128" s="14">
        <f>ROUND((E128-G128)*D128,0)</f>
        <v/>
      </c>
    </row>
    <row r="129">
      <c r="D129" s="19" t="n">
        <v>0</v>
      </c>
      <c r="E129" s="14" t="n"/>
      <c r="F129" s="14">
        <f>D129*E129</f>
        <v/>
      </c>
      <c r="G129" s="14" t="n"/>
      <c r="H129" s="14" t="n"/>
      <c r="I129" s="14" t="n"/>
      <c r="J129" s="14" t="n"/>
      <c r="K129" s="14" t="n"/>
      <c r="L129" s="14" t="n"/>
      <c r="M129" s="14" t="n"/>
      <c r="N129" s="14" t="n"/>
      <c r="O129" s="14" t="n"/>
      <c r="P129" s="14">
        <f>D129*L129</f>
        <v/>
      </c>
      <c r="Q129" s="14">
        <f>D129*M129</f>
        <v/>
      </c>
      <c r="R129" s="14">
        <f>IF(I129&gt;0,I129*D129,"")</f>
        <v/>
      </c>
      <c r="S129" s="14">
        <f>IF(J129&gt;0,J129*D129,"")</f>
        <v/>
      </c>
      <c r="T129" s="14">
        <f>IF(S129&gt;0,P129-S129,"")</f>
        <v/>
      </c>
      <c r="U129" s="14">
        <f>IF(S129&gt;0,Q129-S129,"")</f>
        <v/>
      </c>
      <c r="V129" s="14">
        <f>ROUND((E129-G129)*D129,0)</f>
        <v/>
      </c>
    </row>
    <row r="130">
      <c r="D130" s="19" t="n">
        <v>0</v>
      </c>
      <c r="E130" s="14" t="n"/>
      <c r="F130" s="14">
        <f>D130*E130</f>
        <v/>
      </c>
      <c r="G130" s="14" t="n"/>
      <c r="H130" s="14" t="n"/>
      <c r="I130" s="14" t="n"/>
      <c r="J130" s="14" t="n"/>
      <c r="K130" s="14" t="n"/>
      <c r="L130" s="14" t="n"/>
      <c r="M130" s="14" t="n"/>
      <c r="N130" s="14" t="n"/>
      <c r="O130" s="14" t="n"/>
      <c r="P130" s="14">
        <f>D130*L130</f>
        <v/>
      </c>
      <c r="Q130" s="14">
        <f>D130*M130</f>
        <v/>
      </c>
      <c r="R130" s="14">
        <f>IF(I130&gt;0,I130*D130,"")</f>
        <v/>
      </c>
      <c r="S130" s="14">
        <f>IF(J130&gt;0,J130*D130,"")</f>
        <v/>
      </c>
      <c r="T130" s="14">
        <f>IF(S130&gt;0,P130-S130,"")</f>
        <v/>
      </c>
      <c r="U130" s="14">
        <f>IF(S130&gt;0,Q130-S130,"")</f>
        <v/>
      </c>
      <c r="V130" s="14">
        <f>ROUND((E130-G130)*D130,0)</f>
        <v/>
      </c>
    </row>
    <row r="131">
      <c r="D131" s="19" t="n">
        <v>0</v>
      </c>
      <c r="E131" s="14" t="n"/>
      <c r="F131" s="14">
        <f>D131*E131</f>
        <v/>
      </c>
      <c r="G131" s="14" t="n"/>
      <c r="H131" s="14" t="n"/>
      <c r="I131" s="14" t="n"/>
      <c r="J131" s="14" t="n"/>
      <c r="K131" s="14" t="n"/>
      <c r="L131" s="14" t="n"/>
      <c r="M131" s="14" t="n"/>
      <c r="N131" s="14" t="n"/>
      <c r="O131" s="14" t="n"/>
      <c r="P131" s="14">
        <f>D131*L131</f>
        <v/>
      </c>
      <c r="Q131" s="14">
        <f>D131*M131</f>
        <v/>
      </c>
      <c r="R131" s="14">
        <f>IF(I131&gt;0,I131*D131,"")</f>
        <v/>
      </c>
      <c r="S131" s="14">
        <f>IF(J131&gt;0,J131*D131,"")</f>
        <v/>
      </c>
      <c r="T131" s="14">
        <f>IF(S131&gt;0,P131-S131,"")</f>
        <v/>
      </c>
      <c r="U131" s="14">
        <f>IF(S131&gt;0,Q131-S131,"")</f>
        <v/>
      </c>
      <c r="V131" s="14">
        <f>ROUND((E131-G131)*D131,0)</f>
        <v/>
      </c>
    </row>
    <row r="132">
      <c r="D132" s="19" t="n">
        <v>0</v>
      </c>
      <c r="E132" s="14" t="n"/>
      <c r="F132" s="14">
        <f>D132*E132</f>
        <v/>
      </c>
      <c r="G132" s="14" t="n"/>
      <c r="H132" s="14" t="n"/>
      <c r="I132" s="14" t="n"/>
      <c r="J132" s="14" t="n"/>
      <c r="K132" s="14" t="n"/>
      <c r="L132" s="14" t="n"/>
      <c r="M132" s="14" t="n"/>
      <c r="N132" s="14" t="n"/>
      <c r="O132" s="14" t="n"/>
      <c r="P132" s="14">
        <f>D132*L132</f>
        <v/>
      </c>
      <c r="Q132" s="14">
        <f>D132*M132</f>
        <v/>
      </c>
      <c r="R132" s="14">
        <f>IF(I132&gt;0,I132*D132,"")</f>
        <v/>
      </c>
      <c r="S132" s="14">
        <f>IF(J132&gt;0,J132*D132,"")</f>
        <v/>
      </c>
      <c r="T132" s="14">
        <f>IF(S132&gt;0,P132-S132,"")</f>
        <v/>
      </c>
      <c r="U132" s="14">
        <f>IF(S132&gt;0,Q132-S132,"")</f>
        <v/>
      </c>
      <c r="V132" s="14">
        <f>ROUND((E132-G132)*D132,0)</f>
        <v/>
      </c>
    </row>
    <row r="133">
      <c r="D133" s="19" t="n">
        <v>0</v>
      </c>
      <c r="E133" s="14" t="n"/>
      <c r="F133" s="14">
        <f>D133*E133</f>
        <v/>
      </c>
      <c r="G133" s="14" t="n"/>
      <c r="H133" s="14" t="n"/>
      <c r="I133" s="14" t="n"/>
      <c r="J133" s="14" t="n"/>
      <c r="K133" s="14" t="n"/>
      <c r="L133" s="14" t="n"/>
      <c r="M133" s="14" t="n"/>
      <c r="N133" s="14" t="n"/>
      <c r="O133" s="14" t="n"/>
      <c r="P133" s="14">
        <f>D133*L133</f>
        <v/>
      </c>
      <c r="Q133" s="14">
        <f>D133*M133</f>
        <v/>
      </c>
      <c r="R133" s="14">
        <f>IF(I133&gt;0,I133*D133,"")</f>
        <v/>
      </c>
      <c r="S133" s="14">
        <f>IF(J133&gt;0,J133*D133,"")</f>
        <v/>
      </c>
      <c r="T133" s="14">
        <f>IF(S133&gt;0,P133-S133,"")</f>
        <v/>
      </c>
      <c r="U133" s="14">
        <f>IF(S133&gt;0,Q133-S133,"")</f>
        <v/>
      </c>
      <c r="V133" s="14">
        <f>ROUND((E133-G133)*D133,0)</f>
        <v/>
      </c>
    </row>
    <row r="134">
      <c r="D134" s="19" t="n">
        <v>0</v>
      </c>
      <c r="E134" s="14" t="n"/>
      <c r="F134" s="14">
        <f>D134*E134</f>
        <v/>
      </c>
      <c r="G134" s="14" t="n"/>
      <c r="H134" s="14" t="n"/>
      <c r="I134" s="14" t="n"/>
      <c r="J134" s="14" t="n"/>
      <c r="K134" s="14" t="n"/>
      <c r="L134" s="14" t="n"/>
      <c r="M134" s="14" t="n"/>
      <c r="N134" s="14" t="n"/>
      <c r="O134" s="14" t="n"/>
      <c r="P134" s="14">
        <f>D134*L134</f>
        <v/>
      </c>
      <c r="Q134" s="14">
        <f>D134*M134</f>
        <v/>
      </c>
      <c r="R134" s="14">
        <f>IF(I134&gt;0,I134*D134,"")</f>
        <v/>
      </c>
      <c r="S134" s="14">
        <f>IF(J134&gt;0,J134*D134,"")</f>
        <v/>
      </c>
      <c r="T134" s="14">
        <f>IF(S134&gt;0,P134-S134,"")</f>
        <v/>
      </c>
      <c r="U134" s="14">
        <f>IF(S134&gt;0,Q134-S134,"")</f>
        <v/>
      </c>
      <c r="V134" s="14">
        <f>ROUND((E134-G134)*D134,0)</f>
        <v/>
      </c>
    </row>
    <row r="135">
      <c r="D135" s="19" t="n">
        <v>0</v>
      </c>
      <c r="E135" s="14" t="n"/>
      <c r="F135" s="14">
        <f>D135*E135</f>
        <v/>
      </c>
      <c r="G135" s="14" t="n"/>
      <c r="H135" s="14" t="n"/>
      <c r="I135" s="14" t="n"/>
      <c r="J135" s="14" t="n"/>
      <c r="K135" s="14" t="n"/>
      <c r="L135" s="14" t="n"/>
      <c r="M135" s="14" t="n"/>
      <c r="N135" s="14" t="n"/>
      <c r="O135" s="14" t="n"/>
      <c r="P135" s="14">
        <f>D135*L135</f>
        <v/>
      </c>
      <c r="Q135" s="14">
        <f>D135*M135</f>
        <v/>
      </c>
      <c r="R135" s="14">
        <f>IF(I135&gt;0,I135*D135,"")</f>
        <v/>
      </c>
      <c r="S135" s="14">
        <f>IF(J135&gt;0,J135*D135,"")</f>
        <v/>
      </c>
      <c r="T135" s="14">
        <f>IF(S135&gt;0,P135-S135,"")</f>
        <v/>
      </c>
      <c r="U135" s="14">
        <f>IF(S135&gt;0,Q135-S135,"")</f>
        <v/>
      </c>
      <c r="V135" s="14">
        <f>ROUND((E135-G135)*D135,0)</f>
        <v/>
      </c>
    </row>
    <row r="136">
      <c r="D136" s="19" t="n">
        <v>0</v>
      </c>
      <c r="E136" s="14" t="n"/>
      <c r="F136" s="14">
        <f>D136*E136</f>
        <v/>
      </c>
      <c r="G136" s="14" t="n"/>
      <c r="H136" s="14" t="n"/>
      <c r="I136" s="14" t="n"/>
      <c r="J136" s="14" t="n"/>
      <c r="K136" s="14" t="n"/>
      <c r="L136" s="14" t="n"/>
      <c r="M136" s="14" t="n"/>
      <c r="N136" s="14" t="n"/>
      <c r="O136" s="14" t="n"/>
      <c r="P136" s="14">
        <f>D136*L136</f>
        <v/>
      </c>
      <c r="Q136" s="14">
        <f>D136*M136</f>
        <v/>
      </c>
      <c r="R136" s="14">
        <f>IF(I136&gt;0,I136*D136,"")</f>
        <v/>
      </c>
      <c r="S136" s="14">
        <f>IF(J136&gt;0,J136*D136,"")</f>
        <v/>
      </c>
      <c r="T136" s="14">
        <f>IF(S136&gt;0,P136-S136,"")</f>
        <v/>
      </c>
      <c r="U136" s="14">
        <f>IF(S136&gt;0,Q136-S136,"")</f>
        <v/>
      </c>
      <c r="V136" s="14">
        <f>ROUND((E136-G136)*D136,0)</f>
        <v/>
      </c>
    </row>
    <row r="137">
      <c r="D137" s="19" t="n">
        <v>0</v>
      </c>
      <c r="E137" s="14" t="n"/>
      <c r="F137" s="14">
        <f>D137*E137</f>
        <v/>
      </c>
      <c r="G137" s="14" t="n"/>
      <c r="H137" s="14" t="n"/>
      <c r="I137" s="14" t="n"/>
      <c r="J137" s="14" t="n"/>
      <c r="K137" s="14" t="n"/>
      <c r="L137" s="14" t="n"/>
      <c r="M137" s="14" t="n"/>
      <c r="N137" s="14" t="n"/>
      <c r="O137" s="14" t="n"/>
      <c r="P137" s="14">
        <f>D137*L137</f>
        <v/>
      </c>
      <c r="Q137" s="14">
        <f>D137*M137</f>
        <v/>
      </c>
      <c r="R137" s="14">
        <f>IF(I137&gt;0,I137*D137,"")</f>
        <v/>
      </c>
      <c r="S137" s="14">
        <f>IF(J137&gt;0,J137*D137,"")</f>
        <v/>
      </c>
      <c r="T137" s="14">
        <f>IF(S137&gt;0,P137-S137,"")</f>
        <v/>
      </c>
      <c r="U137" s="14">
        <f>IF(S137&gt;0,Q137-S137,"")</f>
        <v/>
      </c>
      <c r="V137" s="14">
        <f>ROUND((E137-G137)*D137,0)</f>
        <v/>
      </c>
    </row>
    <row r="138">
      <c r="D138" s="19" t="n">
        <v>0</v>
      </c>
      <c r="E138" s="14" t="n"/>
      <c r="F138" s="14">
        <f>D138*E138</f>
        <v/>
      </c>
      <c r="G138" s="14" t="n"/>
      <c r="H138" s="14" t="n"/>
      <c r="I138" s="14" t="n"/>
      <c r="J138" s="14" t="n"/>
      <c r="K138" s="14" t="n"/>
      <c r="L138" s="14" t="n"/>
      <c r="M138" s="14" t="n"/>
      <c r="N138" s="14" t="n"/>
      <c r="O138" s="14" t="n"/>
      <c r="P138" s="14">
        <f>D138*L138</f>
        <v/>
      </c>
      <c r="Q138" s="14">
        <f>D138*M138</f>
        <v/>
      </c>
      <c r="R138" s="14">
        <f>IF(I138&gt;0,I138*D138,"")</f>
        <v/>
      </c>
      <c r="S138" s="14">
        <f>IF(J138&gt;0,J138*D138,"")</f>
        <v/>
      </c>
      <c r="T138" s="14">
        <f>IF(S138&gt;0,P138-S138,"")</f>
        <v/>
      </c>
      <c r="U138" s="14">
        <f>IF(S138&gt;0,Q138-S138,"")</f>
        <v/>
      </c>
      <c r="V138" s="14">
        <f>ROUND((E138-G138)*D138,0)</f>
        <v/>
      </c>
    </row>
    <row r="139">
      <c r="D139" s="19" t="n">
        <v>0</v>
      </c>
      <c r="E139" s="14" t="n"/>
      <c r="F139" s="14">
        <f>D139*E139</f>
        <v/>
      </c>
      <c r="G139" s="14" t="n"/>
      <c r="H139" s="14" t="n"/>
      <c r="I139" s="14" t="n"/>
      <c r="J139" s="14" t="n"/>
      <c r="K139" s="14" t="n"/>
      <c r="L139" s="14" t="n"/>
      <c r="M139" s="14" t="n"/>
      <c r="N139" s="14" t="n"/>
      <c r="O139" s="14" t="n"/>
      <c r="P139" s="14">
        <f>D139*L139</f>
        <v/>
      </c>
      <c r="Q139" s="14">
        <f>D139*M139</f>
        <v/>
      </c>
      <c r="R139" s="14">
        <f>IF(I139&gt;0,I139*D139,"")</f>
        <v/>
      </c>
      <c r="S139" s="14">
        <f>IF(J139&gt;0,J139*D139,"")</f>
        <v/>
      </c>
      <c r="T139" s="14">
        <f>IF(S139&gt;0,P139-S139,"")</f>
        <v/>
      </c>
      <c r="U139" s="14">
        <f>IF(S139&gt;0,Q139-S139,"")</f>
        <v/>
      </c>
      <c r="V139" s="14">
        <f>ROUND((E139-G139)*D139,0)</f>
        <v/>
      </c>
    </row>
    <row r="140">
      <c r="D140" s="19" t="n">
        <v>0</v>
      </c>
      <c r="E140" s="14" t="n"/>
      <c r="F140" s="14">
        <f>D140*E140</f>
        <v/>
      </c>
      <c r="G140" s="14" t="n"/>
      <c r="H140" s="14" t="n"/>
      <c r="I140" s="14" t="n"/>
      <c r="J140" s="14" t="n"/>
      <c r="K140" s="14" t="n"/>
      <c r="L140" s="14" t="n"/>
      <c r="M140" s="14" t="n"/>
      <c r="N140" s="14" t="n"/>
      <c r="O140" s="14" t="n"/>
      <c r="P140" s="14">
        <f>D140*L140</f>
        <v/>
      </c>
      <c r="Q140" s="14">
        <f>D140*M140</f>
        <v/>
      </c>
      <c r="R140" s="14">
        <f>IF(I140&gt;0,I140*D140,"")</f>
        <v/>
      </c>
      <c r="S140" s="14">
        <f>IF(J140&gt;0,J140*D140,"")</f>
        <v/>
      </c>
      <c r="T140" s="14">
        <f>IF(S140&gt;0,P140-S140,"")</f>
        <v/>
      </c>
      <c r="U140" s="14">
        <f>IF(S140&gt;0,Q140-S140,"")</f>
        <v/>
      </c>
      <c r="V140" s="14">
        <f>ROUND((E140-G140)*D140,0)</f>
        <v/>
      </c>
    </row>
    <row r="141">
      <c r="D141" s="19" t="n">
        <v>0</v>
      </c>
      <c r="E141" s="14" t="n"/>
      <c r="F141" s="14">
        <f>D141*E141</f>
        <v/>
      </c>
      <c r="G141" s="14" t="n"/>
      <c r="H141" s="14" t="n"/>
      <c r="I141" s="14" t="n"/>
      <c r="J141" s="14" t="n"/>
      <c r="K141" s="14" t="n"/>
      <c r="L141" s="14" t="n"/>
      <c r="M141" s="14" t="n"/>
      <c r="N141" s="14" t="n"/>
      <c r="O141" s="14" t="n"/>
      <c r="P141" s="14">
        <f>D141*L141</f>
        <v/>
      </c>
      <c r="Q141" s="14">
        <f>D141*M141</f>
        <v/>
      </c>
      <c r="R141" s="14">
        <f>IF(I141&gt;0,I141*D141,"")</f>
        <v/>
      </c>
      <c r="S141" s="14">
        <f>IF(J141&gt;0,J141*D141,"")</f>
        <v/>
      </c>
      <c r="T141" s="14">
        <f>IF(S141&gt;0,P141-S141,"")</f>
        <v/>
      </c>
      <c r="U141" s="14">
        <f>IF(S141&gt;0,Q141-S141,"")</f>
        <v/>
      </c>
      <c r="V141" s="14">
        <f>ROUND((E141-G141)*D141,0)</f>
        <v/>
      </c>
    </row>
    <row r="142">
      <c r="D142" s="19" t="n">
        <v>0</v>
      </c>
      <c r="E142" s="14" t="n"/>
      <c r="F142" s="14">
        <f>D142*E142</f>
        <v/>
      </c>
      <c r="G142" s="14" t="n"/>
      <c r="H142" s="14" t="n"/>
      <c r="I142" s="14" t="n"/>
      <c r="J142" s="14" t="n"/>
      <c r="K142" s="14" t="n"/>
      <c r="L142" s="14" t="n"/>
      <c r="M142" s="14" t="n"/>
      <c r="N142" s="14" t="n"/>
      <c r="O142" s="14" t="n"/>
      <c r="P142" s="14">
        <f>D142*L142</f>
        <v/>
      </c>
      <c r="Q142" s="14">
        <f>D142*M142</f>
        <v/>
      </c>
      <c r="R142" s="14">
        <f>IF(I142&gt;0,I142*D142,"")</f>
        <v/>
      </c>
      <c r="S142" s="14">
        <f>IF(J142&gt;0,J142*D142,"")</f>
        <v/>
      </c>
      <c r="T142" s="14">
        <f>IF(S142&gt;0,P142-S142,"")</f>
        <v/>
      </c>
      <c r="U142" s="14">
        <f>IF(S142&gt;0,Q142-S142,"")</f>
        <v/>
      </c>
      <c r="V142" s="14">
        <f>ROUND((E142-G142)*D142,0)</f>
        <v/>
      </c>
    </row>
    <row r="143">
      <c r="D143" s="19" t="n">
        <v>0</v>
      </c>
      <c r="E143" s="14" t="n"/>
      <c r="F143" s="14">
        <f>D143*E143</f>
        <v/>
      </c>
      <c r="G143" s="14" t="n"/>
      <c r="H143" s="14" t="n"/>
      <c r="I143" s="14" t="n"/>
      <c r="J143" s="14" t="n"/>
      <c r="K143" s="14" t="n"/>
      <c r="L143" s="14" t="n"/>
      <c r="M143" s="14" t="n"/>
      <c r="N143" s="14" t="n"/>
      <c r="O143" s="14" t="n"/>
      <c r="P143" s="14">
        <f>D143*L143</f>
        <v/>
      </c>
      <c r="Q143" s="14">
        <f>D143*M143</f>
        <v/>
      </c>
      <c r="R143" s="14">
        <f>IF(I143&gt;0,I143*D143,"")</f>
        <v/>
      </c>
      <c r="S143" s="14">
        <f>IF(J143&gt;0,J143*D143,"")</f>
        <v/>
      </c>
      <c r="T143" s="14">
        <f>IF(S143&gt;0,P143-S143,"")</f>
        <v/>
      </c>
      <c r="U143" s="14">
        <f>IF(S143&gt;0,Q143-S143,"")</f>
        <v/>
      </c>
      <c r="V143" s="14">
        <f>ROUND((E143-G143)*D143,0)</f>
        <v/>
      </c>
    </row>
    <row r="144">
      <c r="D144" s="19" t="n">
        <v>0</v>
      </c>
      <c r="E144" s="14" t="n"/>
      <c r="F144" s="14">
        <f>D144*E144</f>
        <v/>
      </c>
      <c r="G144" s="14" t="n"/>
      <c r="H144" s="14" t="n"/>
      <c r="I144" s="14" t="n"/>
      <c r="J144" s="14" t="n"/>
      <c r="K144" s="14" t="n"/>
      <c r="L144" s="14" t="n"/>
      <c r="M144" s="14" t="n"/>
      <c r="N144" s="14" t="n"/>
      <c r="O144" s="14" t="n"/>
      <c r="P144" s="14">
        <f>D144*L144</f>
        <v/>
      </c>
      <c r="Q144" s="14">
        <f>D144*M144</f>
        <v/>
      </c>
      <c r="R144" s="14">
        <f>IF(I144&gt;0,I144*D144,"")</f>
        <v/>
      </c>
      <c r="S144" s="14">
        <f>IF(J144&gt;0,J144*D144,"")</f>
        <v/>
      </c>
      <c r="T144" s="14">
        <f>IF(S144&gt;0,P144-S144,"")</f>
        <v/>
      </c>
      <c r="U144" s="14">
        <f>IF(S144&gt;0,Q144-S144,"")</f>
        <v/>
      </c>
      <c r="V144" s="14">
        <f>ROUND((E144-G144)*D144,0)</f>
        <v/>
      </c>
    </row>
    <row r="145">
      <c r="D145" s="19" t="n">
        <v>0</v>
      </c>
      <c r="E145" s="14" t="n"/>
      <c r="F145" s="14">
        <f>D145*E145</f>
        <v/>
      </c>
      <c r="G145" s="14" t="n"/>
      <c r="H145" s="14" t="n"/>
      <c r="I145" s="14" t="n"/>
      <c r="J145" s="14" t="n"/>
      <c r="K145" s="14" t="n"/>
      <c r="L145" s="14" t="n"/>
      <c r="M145" s="14" t="n"/>
      <c r="N145" s="14" t="n"/>
      <c r="O145" s="14" t="n"/>
      <c r="P145" s="14">
        <f>D145*L145</f>
        <v/>
      </c>
      <c r="Q145" s="14">
        <f>D145*M145</f>
        <v/>
      </c>
      <c r="R145" s="14">
        <f>IF(I145&gt;0,I145*D145,"")</f>
        <v/>
      </c>
      <c r="S145" s="14">
        <f>IF(J145&gt;0,J145*D145,"")</f>
        <v/>
      </c>
      <c r="T145" s="14">
        <f>IF(S145&gt;0,P145-S145,"")</f>
        <v/>
      </c>
      <c r="U145" s="14">
        <f>IF(S145&gt;0,Q145-S145,"")</f>
        <v/>
      </c>
      <c r="V145" s="14">
        <f>ROUND((E145-G145)*D145,0)</f>
        <v/>
      </c>
    </row>
    <row r="146">
      <c r="D146" s="19" t="n">
        <v>0</v>
      </c>
      <c r="E146" s="14" t="n"/>
      <c r="F146" s="14">
        <f>D146*E146</f>
        <v/>
      </c>
      <c r="G146" s="14" t="n"/>
      <c r="H146" s="14" t="n"/>
      <c r="I146" s="14" t="n"/>
      <c r="J146" s="14" t="n"/>
      <c r="K146" s="14" t="n"/>
      <c r="L146" s="14" t="n"/>
      <c r="M146" s="14" t="n"/>
      <c r="N146" s="14" t="n"/>
      <c r="O146" s="14" t="n"/>
      <c r="P146" s="14">
        <f>D146*L146</f>
        <v/>
      </c>
      <c r="Q146" s="14">
        <f>D146*M146</f>
        <v/>
      </c>
      <c r="R146" s="14">
        <f>IF(I146&gt;0,I146*D146,"")</f>
        <v/>
      </c>
      <c r="S146" s="14">
        <f>IF(J146&gt;0,J146*D146,"")</f>
        <v/>
      </c>
      <c r="T146" s="14">
        <f>IF(S146&gt;0,P146-S146,"")</f>
        <v/>
      </c>
      <c r="U146" s="14">
        <f>IF(S146&gt;0,Q146-S146,"")</f>
        <v/>
      </c>
      <c r="V146" s="14">
        <f>ROUND((E146-G146)*D146,0)</f>
        <v/>
      </c>
    </row>
    <row r="147">
      <c r="D147" s="19" t="n">
        <v>0</v>
      </c>
      <c r="E147" s="14" t="n"/>
      <c r="F147" s="14">
        <f>D147*E147</f>
        <v/>
      </c>
      <c r="G147" s="14" t="n"/>
      <c r="H147" s="14" t="n"/>
      <c r="I147" s="14" t="n"/>
      <c r="J147" s="14" t="n"/>
      <c r="K147" s="14" t="n"/>
      <c r="L147" s="14" t="n"/>
      <c r="M147" s="14" t="n"/>
      <c r="N147" s="14" t="n"/>
      <c r="O147" s="14" t="n"/>
      <c r="P147" s="14">
        <f>D147*L147</f>
        <v/>
      </c>
      <c r="Q147" s="14">
        <f>D147*M147</f>
        <v/>
      </c>
      <c r="R147" s="14">
        <f>IF(I147&gt;0,I147*D147,"")</f>
        <v/>
      </c>
      <c r="S147" s="14">
        <f>IF(J147&gt;0,J147*D147,"")</f>
        <v/>
      </c>
      <c r="T147" s="14">
        <f>IF(S147&gt;0,P147-S147,"")</f>
        <v/>
      </c>
      <c r="U147" s="14">
        <f>IF(S147&gt;0,Q147-S147,"")</f>
        <v/>
      </c>
      <c r="V147" s="14">
        <f>ROUND((E147-G147)*D147,0)</f>
        <v/>
      </c>
    </row>
    <row r="148">
      <c r="D148" s="19" t="n">
        <v>0</v>
      </c>
      <c r="E148" s="14" t="n"/>
      <c r="F148" s="14">
        <f>D148*E148</f>
        <v/>
      </c>
      <c r="G148" s="14" t="n"/>
      <c r="H148" s="14" t="n"/>
      <c r="I148" s="14" t="n"/>
      <c r="J148" s="14" t="n"/>
      <c r="K148" s="14" t="n"/>
      <c r="L148" s="14" t="n"/>
      <c r="M148" s="14" t="n"/>
      <c r="N148" s="14" t="n"/>
      <c r="O148" s="14" t="n"/>
      <c r="P148" s="14">
        <f>D148*L148</f>
        <v/>
      </c>
      <c r="Q148" s="14">
        <f>D148*M148</f>
        <v/>
      </c>
      <c r="R148" s="14">
        <f>IF(I148&gt;0,I148*D148,"")</f>
        <v/>
      </c>
      <c r="S148" s="14">
        <f>IF(J148&gt;0,J148*D148,"")</f>
        <v/>
      </c>
      <c r="T148" s="14">
        <f>IF(S148&gt;0,P148-S148,"")</f>
        <v/>
      </c>
      <c r="U148" s="14">
        <f>IF(S148&gt;0,Q148-S148,"")</f>
        <v/>
      </c>
      <c r="V148" s="14">
        <f>ROUND((E148-G148)*D148,0)</f>
        <v/>
      </c>
    </row>
    <row r="149">
      <c r="D149" s="19" t="n">
        <v>0</v>
      </c>
      <c r="E149" s="14" t="n"/>
      <c r="F149" s="14">
        <f>D149*E149</f>
        <v/>
      </c>
      <c r="G149" s="14" t="n"/>
      <c r="H149" s="14" t="n"/>
      <c r="I149" s="14" t="n"/>
      <c r="J149" s="14" t="n"/>
      <c r="K149" s="14" t="n"/>
      <c r="L149" s="14" t="n"/>
      <c r="M149" s="14" t="n"/>
      <c r="N149" s="14" t="n"/>
      <c r="O149" s="14" t="n"/>
      <c r="P149" s="14">
        <f>D149*L149</f>
        <v/>
      </c>
      <c r="Q149" s="14">
        <f>D149*M149</f>
        <v/>
      </c>
      <c r="R149" s="14">
        <f>IF(I149&gt;0,I149*D149,"")</f>
        <v/>
      </c>
      <c r="S149" s="14">
        <f>IF(J149&gt;0,J149*D149,"")</f>
        <v/>
      </c>
      <c r="T149" s="14">
        <f>IF(S149&gt;0,P149-S149,"")</f>
        <v/>
      </c>
      <c r="U149" s="14">
        <f>IF(S149&gt;0,Q149-S149,"")</f>
        <v/>
      </c>
      <c r="V149" s="14">
        <f>ROUND((E149-G149)*D149,0)</f>
        <v/>
      </c>
    </row>
    <row r="150">
      <c r="D150" s="19" t="n">
        <v>0</v>
      </c>
      <c r="E150" s="14" t="n"/>
      <c r="F150" s="14">
        <f>D150*E150</f>
        <v/>
      </c>
      <c r="G150" s="14" t="n"/>
      <c r="H150" s="14" t="n"/>
      <c r="I150" s="14" t="n"/>
      <c r="J150" s="14" t="n"/>
      <c r="K150" s="14" t="n"/>
      <c r="L150" s="14" t="n"/>
      <c r="M150" s="14" t="n"/>
      <c r="N150" s="14" t="n"/>
      <c r="O150" s="14" t="n"/>
      <c r="P150" s="14">
        <f>D150*L150</f>
        <v/>
      </c>
      <c r="Q150" s="14">
        <f>D150*M150</f>
        <v/>
      </c>
      <c r="R150" s="14">
        <f>IF(I150&gt;0,I150*D150,"")</f>
        <v/>
      </c>
      <c r="S150" s="14">
        <f>IF(J150&gt;0,J150*D150,"")</f>
        <v/>
      </c>
      <c r="T150" s="14">
        <f>IF(S150&gt;0,P150-S150,"")</f>
        <v/>
      </c>
      <c r="U150" s="14">
        <f>IF(S150&gt;0,Q150-S150,"")</f>
        <v/>
      </c>
      <c r="V150" s="14">
        <f>ROUND((E150-G150)*D150,0)</f>
        <v/>
      </c>
    </row>
    <row r="151">
      <c r="D151" s="19" t="n">
        <v>0</v>
      </c>
      <c r="E151" s="14" t="n"/>
      <c r="F151" s="14">
        <f>D151*E151</f>
        <v/>
      </c>
      <c r="G151" s="14" t="n"/>
      <c r="H151" s="14" t="n"/>
      <c r="I151" s="14" t="n"/>
      <c r="J151" s="14" t="n"/>
      <c r="K151" s="14" t="n"/>
      <c r="L151" s="14" t="n"/>
      <c r="M151" s="14" t="n"/>
      <c r="N151" s="14" t="n"/>
      <c r="O151" s="14" t="n"/>
      <c r="P151" s="14">
        <f>D151*L151</f>
        <v/>
      </c>
      <c r="Q151" s="14">
        <f>D151*M151</f>
        <v/>
      </c>
      <c r="R151" s="14">
        <f>IF(I151&gt;0,I151*D151,"")</f>
        <v/>
      </c>
      <c r="S151" s="14">
        <f>IF(J151&gt;0,J151*D151,"")</f>
        <v/>
      </c>
      <c r="T151" s="14">
        <f>IF(S151&gt;0,P151-S151,"")</f>
        <v/>
      </c>
      <c r="U151" s="14">
        <f>IF(S151&gt;0,Q151-S151,"")</f>
        <v/>
      </c>
      <c r="V151" s="14">
        <f>ROUND((E151-G151)*D151,0)</f>
        <v/>
      </c>
    </row>
    <row r="152">
      <c r="D152" s="19" t="n">
        <v>0</v>
      </c>
      <c r="E152" s="14" t="n"/>
      <c r="F152" s="14">
        <f>D152*E152</f>
        <v/>
      </c>
      <c r="G152" s="14" t="n"/>
      <c r="H152" s="14" t="n"/>
      <c r="I152" s="14" t="n"/>
      <c r="J152" s="14" t="n"/>
      <c r="K152" s="14" t="n"/>
      <c r="L152" s="14" t="n"/>
      <c r="M152" s="14" t="n"/>
      <c r="N152" s="14" t="n"/>
      <c r="O152" s="14" t="n"/>
      <c r="P152" s="14">
        <f>D152*L152</f>
        <v/>
      </c>
      <c r="Q152" s="14">
        <f>D152*M152</f>
        <v/>
      </c>
      <c r="R152" s="14">
        <f>IF(I152&gt;0,I152*D152,"")</f>
        <v/>
      </c>
      <c r="S152" s="14">
        <f>IF(J152&gt;0,J152*D152,"")</f>
        <v/>
      </c>
      <c r="T152" s="14">
        <f>IF(S152&gt;0,P152-S152,"")</f>
        <v/>
      </c>
      <c r="U152" s="14">
        <f>IF(S152&gt;0,Q152-S152,"")</f>
        <v/>
      </c>
      <c r="V152" s="14">
        <f>ROUND((E152-G152)*D152,0)</f>
        <v/>
      </c>
    </row>
    <row r="153">
      <c r="D153" s="19" t="n">
        <v>0</v>
      </c>
      <c r="E153" s="14" t="n"/>
      <c r="F153" s="14">
        <f>D153*E153</f>
        <v/>
      </c>
      <c r="G153" s="14" t="n"/>
      <c r="H153" s="14" t="n"/>
      <c r="I153" s="14" t="n"/>
      <c r="J153" s="14" t="n"/>
      <c r="K153" s="14" t="n"/>
      <c r="L153" s="14" t="n"/>
      <c r="M153" s="14" t="n"/>
      <c r="N153" s="14" t="n"/>
      <c r="O153" s="14" t="n"/>
      <c r="P153" s="14">
        <f>D153*L153</f>
        <v/>
      </c>
      <c r="Q153" s="14">
        <f>D153*M153</f>
        <v/>
      </c>
      <c r="R153" s="14">
        <f>IF(I153&gt;0,I153*D153,"")</f>
        <v/>
      </c>
      <c r="S153" s="14">
        <f>IF(J153&gt;0,J153*D153,"")</f>
        <v/>
      </c>
      <c r="T153" s="14">
        <f>IF(S153&gt;0,P153-S153,"")</f>
        <v/>
      </c>
      <c r="U153" s="14">
        <f>IF(S153&gt;0,Q153-S153,"")</f>
        <v/>
      </c>
      <c r="V153" s="14">
        <f>ROUND((E153-G153)*D153,0)</f>
        <v/>
      </c>
    </row>
    <row r="154">
      <c r="D154" s="19" t="n">
        <v>0</v>
      </c>
      <c r="E154" s="14" t="n"/>
      <c r="F154" s="14">
        <f>D154*E154</f>
        <v/>
      </c>
      <c r="G154" s="14" t="n"/>
      <c r="H154" s="14" t="n"/>
      <c r="I154" s="14" t="n"/>
      <c r="J154" s="14" t="n"/>
      <c r="K154" s="14" t="n"/>
      <c r="L154" s="14" t="n"/>
      <c r="M154" s="14" t="n"/>
      <c r="N154" s="14" t="n"/>
      <c r="O154" s="14" t="n"/>
      <c r="P154" s="14">
        <f>D154*L154</f>
        <v/>
      </c>
      <c r="Q154" s="14">
        <f>D154*M154</f>
        <v/>
      </c>
      <c r="R154" s="14">
        <f>IF(I154&gt;0,I154*D154,"")</f>
        <v/>
      </c>
      <c r="S154" s="14">
        <f>IF(J154&gt;0,J154*D154,"")</f>
        <v/>
      </c>
      <c r="T154" s="14">
        <f>IF(S154&gt;0,P154-S154,"")</f>
        <v/>
      </c>
      <c r="U154" s="14">
        <f>IF(S154&gt;0,Q154-S154,"")</f>
        <v/>
      </c>
      <c r="V154" s="14">
        <f>ROUND((E154-G154)*D154,0)</f>
        <v/>
      </c>
    </row>
    <row r="155">
      <c r="D155" s="19" t="n">
        <v>0</v>
      </c>
      <c r="E155" s="14" t="n"/>
      <c r="F155" s="14">
        <f>D155*E155</f>
        <v/>
      </c>
      <c r="G155" s="14" t="n"/>
      <c r="H155" s="14" t="n"/>
      <c r="I155" s="14" t="n"/>
      <c r="J155" s="14" t="n"/>
      <c r="K155" s="14" t="n"/>
      <c r="L155" s="14" t="n"/>
      <c r="M155" s="14" t="n"/>
      <c r="N155" s="14" t="n"/>
      <c r="O155" s="14" t="n"/>
      <c r="P155" s="14">
        <f>D155*L155</f>
        <v/>
      </c>
      <c r="Q155" s="14">
        <f>D155*M155</f>
        <v/>
      </c>
      <c r="R155" s="14">
        <f>IF(I155&gt;0,I155*D155,"")</f>
        <v/>
      </c>
      <c r="S155" s="14">
        <f>IF(J155&gt;0,J155*D155,"")</f>
        <v/>
      </c>
      <c r="T155" s="14">
        <f>IF(S155&gt;0,P155-S155,"")</f>
        <v/>
      </c>
      <c r="U155" s="14">
        <f>IF(S155&gt;0,Q155-S155,"")</f>
        <v/>
      </c>
      <c r="V155" s="14">
        <f>ROUND((E155-G155)*D155,0)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BE5"/>
  <autoFilter ref="A1:V155"/>
  <conditionalFormatting sqref="D2:D155">
    <cfRule type="cellIs" priority="1" operator="equal" dxfId="0">
      <formula>0</formula>
    </cfRule>
    <cfRule type="cellIs" priority="2" operator="equal" dxfId="1">
      <formula>1</formula>
    </cfRule>
  </conditionalFormatting>
  <dataValidations count="2">
    <dataValidation sqref="D2:D155" showDropDown="0" showInputMessage="0" showErrorMessage="0" allowBlank="0" errorTitle="Stock inválido" error="Stock debe ser 0 o más (piezas físicas)." type="whole" operator="greaterThanOrEqual">
      <formula1>0</formula1>
    </dataValidation>
    <dataValidation sqref="E2:E155 G2:G155 I2:I155 J2:J155" showDropDown="0" showInputMessage="0" showErrorMessage="0" allowBlank="0" type="decimal" operator="greaterThanOrEqual">
      <formula1>0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0" customWidth="1" min="8" max="8"/>
  </cols>
  <sheetData>
    <row r="1">
      <c r="A1" s="8" t="inlineStr">
        <is>
          <t>Fecha</t>
        </is>
      </c>
      <c r="B1" s="8" t="inlineStr">
        <is>
          <t>Hora</t>
        </is>
      </c>
      <c r="C1" s="8" t="inlineStr">
        <is>
          <t>Referencia</t>
        </is>
      </c>
      <c r="D1" s="8" t="inlineStr">
        <is>
          <t>Tipo</t>
        </is>
      </c>
      <c r="E1" s="8" t="inlineStr">
        <is>
          <t>Cantidad</t>
        </is>
      </c>
      <c r="F1" s="8" t="inlineStr">
        <is>
          <t>Stock anterior</t>
        </is>
      </c>
      <c r="G1" s="8" t="inlineStr">
        <is>
          <t>Stock nuevo</t>
        </is>
      </c>
      <c r="H1" s="8" t="inlineStr">
        <is>
          <t>Motivo</t>
        </is>
      </c>
      <c r="I1" s="8" t="inlineStr">
        <is>
          <t>Usuario</t>
        </is>
      </c>
    </row>
    <row r="2">
      <c r="A2" t="inlineStr">
        <is>
          <t>2026-06-08</t>
        </is>
      </c>
      <c r="B2" t="inlineStr">
        <is>
          <t>19:29</t>
        </is>
      </c>
      <c r="C2" t="inlineStr">
        <is>
          <t>(TODAS)</t>
        </is>
      </c>
      <c r="D2" t="inlineStr">
        <is>
          <t>Compra</t>
        </is>
      </c>
      <c r="E2" t="n">
        <v>220</v>
      </c>
      <c r="F2" t="n">
        <v>0</v>
      </c>
      <c r="G2" t="n">
        <v>220</v>
      </c>
      <c r="H2" t="inlineStr">
        <is>
          <t>Carga inicial pedido 5 Junio</t>
        </is>
      </c>
      <c r="I2" t="inlineStr">
        <is>
          <t>sistema</t>
        </is>
      </c>
    </row>
    <row r="3">
      <c r="A3" t="inlineStr">
        <is>
          <t>2026-06-08</t>
        </is>
      </c>
      <c r="B3" t="inlineStr">
        <is>
          <t>19:31</t>
        </is>
      </c>
      <c r="C3" t="inlineStr">
        <is>
          <t>KTR-4015</t>
        </is>
      </c>
      <c r="D3" t="inlineStr">
        <is>
          <t>Venta</t>
        </is>
      </c>
      <c r="E3" t="n">
        <v>-1</v>
      </c>
      <c r="F3" t="n">
        <v>2</v>
      </c>
      <c r="G3" t="n">
        <v>1</v>
      </c>
      <c r="H3" t="inlineStr">
        <is>
          <t>Prueba venta</t>
        </is>
      </c>
      <c r="I3" t="inlineStr">
        <is>
          <t>operador</t>
        </is>
      </c>
    </row>
    <row r="4">
      <c r="A4" t="inlineStr">
        <is>
          <t>2026-06-08</t>
        </is>
      </c>
      <c r="B4" t="inlineStr">
        <is>
          <t>19:31</t>
        </is>
      </c>
      <c r="C4" t="inlineStr">
        <is>
          <t>KTR-4015</t>
        </is>
      </c>
      <c r="D4" t="inlineStr">
        <is>
          <t>Sincronización</t>
        </is>
      </c>
      <c r="E4" t="n">
        <v>-1</v>
      </c>
      <c r="F4" t="n">
        <v>2</v>
      </c>
      <c r="G4" t="n">
        <v>1</v>
      </c>
      <c r="H4" t="inlineStr">
        <is>
          <t>Ajuste detectado al sincronizar (cambio en Excel)</t>
        </is>
      </c>
      <c r="I4" t="inlineStr">
        <is>
          <t>sistema</t>
        </is>
      </c>
    </row>
    <row r="5">
      <c r="A5" t="inlineStr">
        <is>
          <t>2026-06-08</t>
        </is>
      </c>
      <c r="B5" t="inlineStr">
        <is>
          <t>19:36</t>
        </is>
      </c>
      <c r="C5" t="inlineStr">
        <is>
          <t>KTR-4015</t>
        </is>
      </c>
      <c r="D5" t="inlineStr">
        <is>
          <t>Venta</t>
        </is>
      </c>
      <c r="E5" t="n">
        <v>-1</v>
      </c>
      <c r="F5" t="n">
        <v>1</v>
      </c>
      <c r="G5" t="n">
        <v>0</v>
      </c>
      <c r="H5" t="inlineStr">
        <is>
          <t>Prueba</t>
        </is>
      </c>
      <c r="I5" t="inlineStr">
        <is>
          <t>operador</t>
        </is>
      </c>
    </row>
    <row r="6">
      <c r="A6" t="inlineStr">
        <is>
          <t>2026-06-08</t>
        </is>
      </c>
      <c r="B6" t="inlineStr">
        <is>
          <t>19:43</t>
        </is>
      </c>
      <c r="C6" t="inlineStr">
        <is>
          <t>KTR-4015</t>
        </is>
      </c>
      <c r="D6" t="inlineStr">
        <is>
          <t>Entrada</t>
        </is>
      </c>
      <c r="E6" t="n">
        <v>2</v>
      </c>
      <c r="F6" t="n">
        <v>0</v>
      </c>
      <c r="G6" t="n">
        <v>2</v>
      </c>
      <c r="H6" t="inlineStr">
        <is>
          <t>Restaurar stock inicial</t>
        </is>
      </c>
      <c r="I6" t="inlineStr">
        <is>
          <t>operador</t>
        </is>
      </c>
    </row>
  </sheetData>
  <dataValidations count="1">
    <dataValidation sqref="D2:D5000" showDropDown="0" showInputMessage="0" showErrorMessage="0" allowBlank="0" type="list">
      <formula1>"Entrada,Salida,Venta,Ajuste,Compra,Sincronización"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2" customWidth="1" min="1" max="1"/>
    <col width="80" customWidth="1" min="2" max="2"/>
  </cols>
  <sheetData>
    <row r="1">
      <c r="A1" s="11" t="inlineStr">
        <is>
          <t>Paso</t>
        </is>
      </c>
      <c r="B1" s="11" t="inlineStr">
        <is>
          <t>Instrucción</t>
        </is>
      </c>
    </row>
    <row r="2">
      <c r="A2" t="inlineStr">
        <is>
          <t>1. Cambiar stock</t>
        </is>
      </c>
      <c r="B2" t="inlineStr">
        <is>
          <t>Edita columna amarilla STOCK (piezas) en hoja Inventario.</t>
        </is>
      </c>
    </row>
    <row r="3">
      <c r="A3" t="inlineStr">
        <is>
          <t>2. Registrar movimiento</t>
        </is>
      </c>
      <c r="B3" t="inlineStr">
        <is>
          <t>Ejecuta: py -3 registrar_movimiento.py REF -1 "Venta taller"</t>
        </is>
      </c>
    </row>
    <row r="4">
      <c r="A4" t="inlineStr">
        <is>
          <t>3. Sincronizar PWA</t>
        </is>
      </c>
      <c r="B4" t="inlineStr">
        <is>
          <t>Ejecuta: py -3 sincronizar_inventario.py</t>
        </is>
      </c>
    </row>
    <row r="5">
      <c r="A5" t="inlineStr">
        <is>
          <t>4. Agregar producto nuevo</t>
        </is>
      </c>
      <c r="B5" t="inlineStr">
        <is>
          <t>En Inventario, busca fila ← NUEVO. Llena REFERENCIA, DESCRIPCIÓN, MARCA, STOCK, Catálogo y Facturado. Los precios Taller/Público se pueden calcular con el script o pegar manualmente.</t>
        </is>
      </c>
    </row>
    <row r="6">
      <c r="A6" t="inlineStr">
        <is>
          <t>5. Calcular precios auto</t>
        </is>
      </c>
      <c r="B6" t="inlineStr">
        <is>
          <t>py -3 inventario.py precios REFERENCIA — calcula taller/público desde catálogo.</t>
        </is>
      </c>
    </row>
    <row r="7">
      <c r="A7" t="inlineStr">
        <is>
          <t>6. Ocultar columnas grises</t>
        </is>
      </c>
      <c r="B7" t="inlineStr">
        <is>
          <t>Selecciona P–S → clic derecho → Ocultar.</t>
        </is>
      </c>
    </row>
    <row r="8">
      <c r="A8" t="inlineStr">
        <is>
          <t>7. Desbloquear edición</t>
        </is>
      </c>
      <c r="B8" t="inlineStr">
        <is>
          <t>Si Excel pide contraseña de hoja: apex</t>
        </is>
      </c>
    </row>
    <row r="9">
      <c r="A9" t="inlineStr">
        <is>
          <t>8. Plantilla vacía</t>
        </is>
      </c>
      <c r="B9" t="inlineStr">
        <is>
          <t>Usa Inventario_Apex_PLANTILLA.xlsx para empezar desde cero.</t>
        </is>
      </c>
    </row>
    <row r="10">
      <c r="A10" t="inlineStr">
        <is>
          <t>9. Pedido histórico</t>
        </is>
      </c>
      <c r="B10" t="inlineStr">
        <is>
          <t>Los análisis de pedidos van en carpeta pedidos/ — no mezclar con el VIVO.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3" max="3"/>
  </cols>
  <sheetData>
    <row r="1">
      <c r="A1" s="9" t="inlineStr">
        <is>
          <t>Prioridad</t>
        </is>
      </c>
      <c r="B1" s="9" t="inlineStr">
        <is>
          <t>REFERENCIA</t>
        </is>
      </c>
      <c r="C1" s="9" t="inlineStr">
        <is>
          <t>DESCRIPCIÓN</t>
        </is>
      </c>
      <c r="D1" s="9" t="inlineStr">
        <is>
          <t>STOCK</t>
        </is>
      </c>
      <c r="E1" s="9" t="inlineStr">
        <is>
          <t>Acción sugerida</t>
        </is>
      </c>
    </row>
    <row r="2">
      <c r="A2" s="10" t="inlineStr">
        <is>
          <t>STOCK BAJO</t>
        </is>
      </c>
      <c r="B2" s="10" t="inlineStr">
        <is>
          <t>KSA-CH043</t>
        </is>
      </c>
      <c r="C2" s="10" t="inlineStr">
        <is>
          <t>Amortiguador Captiva 18-08 2.4 Del IZQ</t>
        </is>
      </c>
      <c r="D2" s="10" t="n">
        <v>1</v>
      </c>
      <c r="E2" s="10" t="inlineStr">
        <is>
          <t>Revisar / reponer pronto</t>
        </is>
      </c>
    </row>
    <row r="3">
      <c r="A3" s="10" t="inlineStr">
        <is>
          <t>STOCK BAJO</t>
        </is>
      </c>
      <c r="B3" s="10" t="inlineStr">
        <is>
          <t>KSA-CH042</t>
        </is>
      </c>
      <c r="C3" s="10" t="inlineStr">
        <is>
          <t>Amortiguador Captiva 18-08 2.4 Del DER</t>
        </is>
      </c>
      <c r="D3" s="10" t="n">
        <v>1</v>
      </c>
      <c r="E3" s="10" t="inlineStr">
        <is>
          <t>Revisar / reponer pronto</t>
        </is>
      </c>
    </row>
    <row r="4">
      <c r="A4" s="10" t="inlineStr">
        <is>
          <t>STOCK BAJO</t>
        </is>
      </c>
      <c r="B4" s="10" t="inlineStr">
        <is>
          <t>KSA-DA001</t>
        </is>
      </c>
      <c r="C4" s="10" t="inlineStr">
        <is>
          <t>Amortiguador Spark 7.24 / Daewoo Matiz II Del DER</t>
        </is>
      </c>
      <c r="D4" s="10" t="n">
        <v>1</v>
      </c>
      <c r="E4" s="10" t="inlineStr">
        <is>
          <t>Revisar / reponer pronto</t>
        </is>
      </c>
    </row>
    <row r="5">
      <c r="A5" s="10" t="inlineStr">
        <is>
          <t>STOCK BAJO</t>
        </is>
      </c>
      <c r="B5" s="10" t="inlineStr">
        <is>
          <t>KSA-DA002</t>
        </is>
      </c>
      <c r="C5" s="10" t="inlineStr">
        <is>
          <t>Amortiguador Spark 7.24 / Daewoo Matiz II Del IZQ</t>
        </is>
      </c>
      <c r="D5" s="10" t="n">
        <v>1</v>
      </c>
      <c r="E5" s="10" t="inlineStr">
        <is>
          <t>Revisar / reponer pronto</t>
        </is>
      </c>
    </row>
    <row r="6">
      <c r="A6" s="10" t="inlineStr">
        <is>
          <t>STOCK BAJO</t>
        </is>
      </c>
      <c r="B6" s="10" t="inlineStr">
        <is>
          <t>KSA-FO001</t>
        </is>
      </c>
      <c r="C6" s="10" t="inlineStr">
        <is>
          <t>Amortiguador Ford Fiesta Del IZQ</t>
        </is>
      </c>
      <c r="D6" s="10" t="n">
        <v>1</v>
      </c>
      <c r="E6" s="10" t="inlineStr">
        <is>
          <t>Revisar / reponer pronto</t>
        </is>
      </c>
    </row>
    <row r="7">
      <c r="A7" s="10" t="inlineStr">
        <is>
          <t>STOCK BAJO</t>
        </is>
      </c>
      <c r="B7" s="10" t="inlineStr">
        <is>
          <t>KSA-FO002</t>
        </is>
      </c>
      <c r="C7" s="10" t="inlineStr">
        <is>
          <t>Amortiguador Ford Fiesta Del DER</t>
        </is>
      </c>
      <c r="D7" s="10" t="n">
        <v>1</v>
      </c>
      <c r="E7" s="10" t="inlineStr">
        <is>
          <t>Revisar / reponer pronto</t>
        </is>
      </c>
    </row>
    <row r="8">
      <c r="A8" s="10" t="inlineStr">
        <is>
          <t>STOCK BAJO</t>
        </is>
      </c>
      <c r="B8" s="10" t="inlineStr">
        <is>
          <t>KSA-HY014</t>
        </is>
      </c>
      <c r="C8" s="10" t="inlineStr">
        <is>
          <t>Amortiguador Accent Vision / Kia Rio Xcite DEL DER</t>
        </is>
      </c>
      <c r="D8" s="10" t="n">
        <v>1</v>
      </c>
      <c r="E8" s="10" t="inlineStr">
        <is>
          <t>Revisar / reponer pronto</t>
        </is>
      </c>
    </row>
    <row r="9">
      <c r="A9" s="10" t="inlineStr">
        <is>
          <t>STOCK BAJO</t>
        </is>
      </c>
      <c r="B9" s="10" t="inlineStr">
        <is>
          <t>KSA-HY015</t>
        </is>
      </c>
      <c r="C9" s="10" t="inlineStr">
        <is>
          <t>Amortiguador Accent Vision / Kia Rio Xcite DEL IZQ</t>
        </is>
      </c>
      <c r="D9" s="10" t="n">
        <v>1</v>
      </c>
      <c r="E9" s="10" t="inlineStr">
        <is>
          <t>Revisar / reponer pronto</t>
        </is>
      </c>
    </row>
    <row r="10">
      <c r="A10" s="10" t="inlineStr">
        <is>
          <t>STOCK BAJO</t>
        </is>
      </c>
      <c r="B10" s="10" t="inlineStr">
        <is>
          <t>KSA-KI024</t>
        </is>
      </c>
      <c r="C10" s="10" t="inlineStr">
        <is>
          <t>Amortiguador Picanto ION Delantero Der GAS</t>
        </is>
      </c>
      <c r="D10" s="10" t="n">
        <v>1</v>
      </c>
      <c r="E10" s="10" t="inlineStr">
        <is>
          <t>Revisar / reponer pronto</t>
        </is>
      </c>
    </row>
    <row r="11">
      <c r="A11" s="10" t="inlineStr">
        <is>
          <t>STOCK BAJO</t>
        </is>
      </c>
      <c r="B11" s="10" t="inlineStr">
        <is>
          <t>KSA-KI025</t>
        </is>
      </c>
      <c r="C11" s="10" t="inlineStr">
        <is>
          <t>Amortiguador Kia Picanto 17-13 ION Del IZQ GAS</t>
        </is>
      </c>
      <c r="D11" s="10" t="n">
        <v>1</v>
      </c>
      <c r="E11" s="10" t="inlineStr">
        <is>
          <t>Revisar / reponer pronto</t>
        </is>
      </c>
    </row>
    <row r="12">
      <c r="A12" s="10" t="inlineStr">
        <is>
          <t>STOCK BAJO</t>
        </is>
      </c>
      <c r="B12" s="10" t="inlineStr">
        <is>
          <t>KSA-MA001</t>
        </is>
      </c>
      <c r="C12" s="10" t="inlineStr">
        <is>
          <t xml:space="preserve">Amortiguador Mazda 2 13-08 Del DER GAS </t>
        </is>
      </c>
      <c r="D12" s="10" t="n">
        <v>1</v>
      </c>
      <c r="E12" s="10" t="inlineStr">
        <is>
          <t>Revisar / reponer pronto</t>
        </is>
      </c>
    </row>
    <row r="13">
      <c r="A13" s="10" t="inlineStr">
        <is>
          <t>STOCK BAJO</t>
        </is>
      </c>
      <c r="B13" s="10" t="inlineStr">
        <is>
          <t>KSA-MA002</t>
        </is>
      </c>
      <c r="C13" s="10" t="inlineStr">
        <is>
          <t xml:space="preserve">Amortiguador Mazda 2 13-08 Del IZQ GAS </t>
        </is>
      </c>
      <c r="D13" s="10" t="n">
        <v>1</v>
      </c>
      <c r="E13" s="10" t="inlineStr">
        <is>
          <t>Revisar / reponer pronto</t>
        </is>
      </c>
    </row>
    <row r="14">
      <c r="A14" s="10" t="inlineStr">
        <is>
          <t>STOCK BAJO</t>
        </is>
      </c>
      <c r="B14" s="10" t="inlineStr">
        <is>
          <t>7700820028</t>
        </is>
      </c>
      <c r="C14" s="10" t="inlineStr">
        <is>
          <t>TIJERA DEL LH TWINGO</t>
        </is>
      </c>
      <c r="D14" s="10" t="n">
        <v>1</v>
      </c>
      <c r="E14" s="10" t="inlineStr">
        <is>
          <t>Revisar / reponer pronto</t>
        </is>
      </c>
    </row>
    <row r="15">
      <c r="A15" s="10" t="inlineStr">
        <is>
          <t>STOCK BAJO</t>
        </is>
      </c>
      <c r="B15" s="10" t="inlineStr">
        <is>
          <t>7700820029</t>
        </is>
      </c>
      <c r="C15" s="10" t="inlineStr">
        <is>
          <t>TIJERA DEL LH TWINGO</t>
        </is>
      </c>
      <c r="D15" s="10" t="n">
        <v>1</v>
      </c>
      <c r="E15" s="10" t="inlineStr">
        <is>
          <t>Revisar / reponer pronto</t>
        </is>
      </c>
    </row>
    <row r="16">
      <c r="A16" s="10" t="inlineStr">
        <is>
          <t>STOCK BAJO</t>
        </is>
      </c>
      <c r="B16" s="10" t="inlineStr">
        <is>
          <t>54501-1697R</t>
        </is>
      </c>
      <c r="C16" s="10" t="inlineStr">
        <is>
          <t>TIJERA DELANTERA RH TWINGO</t>
        </is>
      </c>
      <c r="D16" s="10" t="n">
        <v>1</v>
      </c>
      <c r="E16" s="10" t="inlineStr">
        <is>
          <t>Revisar / reponer pronto</t>
        </is>
      </c>
    </row>
    <row r="17">
      <c r="A17" s="10" t="inlineStr">
        <is>
          <t>STOCK BAJO</t>
        </is>
      </c>
      <c r="B17" s="10" t="inlineStr">
        <is>
          <t>545001138R</t>
        </is>
      </c>
      <c r="C17" s="10" t="inlineStr">
        <is>
          <t>TIJERA DELANTERA RH DUSTER/OROCH</t>
        </is>
      </c>
      <c r="D17" s="10" t="n">
        <v>1</v>
      </c>
      <c r="E17" s="10" t="inlineStr">
        <is>
          <t>Revisar / reponer pronto</t>
        </is>
      </c>
    </row>
    <row r="18">
      <c r="A18" s="10" t="inlineStr">
        <is>
          <t>STOCK BAJO</t>
        </is>
      </c>
      <c r="B18" s="10" t="inlineStr">
        <is>
          <t>54500A269R</t>
        </is>
      </c>
      <c r="C18" s="10" t="inlineStr">
        <is>
          <t>TIJERA DEL LH DUSTER/OROCH</t>
        </is>
      </c>
      <c r="D18" s="10" t="n">
        <v>1</v>
      </c>
      <c r="E18" s="10" t="inlineStr">
        <is>
          <t>Revisar / reponer pronto</t>
        </is>
      </c>
    </row>
    <row r="19">
      <c r="A19" s="10" t="inlineStr">
        <is>
          <t>STOCK BAJO</t>
        </is>
      </c>
      <c r="B19" s="10" t="inlineStr">
        <is>
          <t>54500A268R</t>
        </is>
      </c>
      <c r="C19" s="10" t="inlineStr">
        <is>
          <t>TIJERA DEL RH LOGAN/SANDERO/2016</t>
        </is>
      </c>
      <c r="D19" s="10" t="n">
        <v>1</v>
      </c>
      <c r="E19" s="10" t="inlineStr">
        <is>
          <t>Revisar / reponer pronto</t>
        </is>
      </c>
    </row>
    <row r="20">
      <c r="A20" s="10" t="inlineStr">
        <is>
          <t>STOCK BAJO</t>
        </is>
      </c>
      <c r="B20" s="10" t="inlineStr">
        <is>
          <t>545010294R</t>
        </is>
      </c>
      <c r="C20" s="10" t="inlineStr">
        <is>
          <t>TIJERA DEL LH LOGAN II/SANDERO II</t>
        </is>
      </c>
      <c r="D20" s="10" t="n">
        <v>1</v>
      </c>
      <c r="E20" s="10" t="inlineStr">
        <is>
          <t>Revisar / reponer pronto</t>
        </is>
      </c>
    </row>
    <row r="21">
      <c r="A21" s="10" t="inlineStr">
        <is>
          <t>STOCK BAJO</t>
        </is>
      </c>
      <c r="B21" s="10" t="inlineStr">
        <is>
          <t>545004529R</t>
        </is>
      </c>
      <c r="C21" s="10" t="inlineStr">
        <is>
          <t>TIJERA DEL LH LOGAN II/SANDERO II</t>
        </is>
      </c>
      <c r="D21" s="10" t="n">
        <v>1</v>
      </c>
      <c r="E21" s="10" t="inlineStr">
        <is>
          <t>Revisar / reponer pronto</t>
        </is>
      </c>
    </row>
    <row r="22">
      <c r="A22" s="10" t="inlineStr">
        <is>
          <t>STOCK BAJO</t>
        </is>
      </c>
      <c r="B22" s="10" t="inlineStr">
        <is>
          <t>54501-0000M</t>
        </is>
      </c>
      <c r="C22" s="10" t="inlineStr">
        <is>
          <t>TIJERA DEL LH CLIO II/SYMBOL</t>
        </is>
      </c>
      <c r="D22" s="10" t="n">
        <v>1</v>
      </c>
      <c r="E22" s="10" t="inlineStr">
        <is>
          <t>Revisar / reponer pronto</t>
        </is>
      </c>
    </row>
    <row r="23">
      <c r="A23" s="10" t="inlineStr">
        <is>
          <t>STOCK BAJO</t>
        </is>
      </c>
      <c r="B23" s="10" t="inlineStr">
        <is>
          <t>5450-0000M</t>
        </is>
      </c>
      <c r="C23" s="10" t="inlineStr">
        <is>
          <t>TIJERA DEL RH CLIO II/SYMBOL</t>
        </is>
      </c>
      <c r="D23" s="10" t="n">
        <v>1</v>
      </c>
      <c r="E23" s="10" t="inlineStr">
        <is>
          <t>Revisar / reponer pronto</t>
        </is>
      </c>
    </row>
    <row r="24">
      <c r="A24" s="10" t="inlineStr">
        <is>
          <t>STOCK BAJO</t>
        </is>
      </c>
      <c r="B24" s="10" t="inlineStr">
        <is>
          <t>96535081</t>
        </is>
      </c>
      <c r="C24" s="10" t="inlineStr">
        <is>
          <t>TIJERA LH AVEO/SAIL</t>
        </is>
      </c>
      <c r="D24" s="10" t="n">
        <v>1</v>
      </c>
      <c r="E24" s="10" t="inlineStr">
        <is>
          <t>Revisar / reponer pronto</t>
        </is>
      </c>
    </row>
    <row r="25">
      <c r="A25" s="10" t="inlineStr">
        <is>
          <t>STOCK BAJO</t>
        </is>
      </c>
      <c r="B25" s="10" t="inlineStr">
        <is>
          <t>96535082</t>
        </is>
      </c>
      <c r="C25" s="10" t="inlineStr">
        <is>
          <t>TIJERA RH AVEO/SAIL</t>
        </is>
      </c>
      <c r="D25" s="10" t="n">
        <v>1</v>
      </c>
      <c r="E25" s="10" t="inlineStr">
        <is>
          <t>Revisar / reponer pronto</t>
        </is>
      </c>
    </row>
    <row r="26">
      <c r="A26" s="10" t="inlineStr">
        <is>
          <t>STOCK BAJO</t>
        </is>
      </c>
      <c r="B26" s="10" t="inlineStr">
        <is>
          <t>2595128</t>
        </is>
      </c>
      <c r="C26" s="10" t="inlineStr">
        <is>
          <t>TIJERA DEL RH CAPTIVA</t>
        </is>
      </c>
      <c r="D26" s="10" t="n">
        <v>1</v>
      </c>
      <c r="E26" s="10" t="inlineStr">
        <is>
          <t>Revisar / reponer pronto</t>
        </is>
      </c>
    </row>
    <row r="27">
      <c r="A27" s="10" t="inlineStr">
        <is>
          <t>STOCK BAJO</t>
        </is>
      </c>
      <c r="B27" s="10" t="inlineStr">
        <is>
          <t>96819162</t>
        </is>
      </c>
      <c r="C27" s="10" t="inlineStr">
        <is>
          <t>TIJERA DEL LH CAPTIVA</t>
        </is>
      </c>
      <c r="D27" s="10" t="n">
        <v>1</v>
      </c>
      <c r="E27" s="10" t="inlineStr">
        <is>
          <t>Revisar / reponer pronto</t>
        </is>
      </c>
    </row>
    <row r="28">
      <c r="A28" s="10" t="inlineStr">
        <is>
          <t>STOCK BAJO</t>
        </is>
      </c>
      <c r="B28" s="10" t="inlineStr">
        <is>
          <t>B32H-34-350</t>
        </is>
      </c>
      <c r="C28" s="10" t="inlineStr">
        <is>
          <t>TIJERA DEL LH MAZDA 3</t>
        </is>
      </c>
      <c r="D28" s="10" t="n">
        <v>1</v>
      </c>
      <c r="E28" s="10" t="inlineStr">
        <is>
          <t>Revisar / reponer pronto</t>
        </is>
      </c>
    </row>
    <row r="29">
      <c r="A29" s="10" t="inlineStr">
        <is>
          <t>STOCK BAJO</t>
        </is>
      </c>
      <c r="B29" s="10" t="inlineStr">
        <is>
          <t>B32H-34-300</t>
        </is>
      </c>
      <c r="C29" s="10" t="inlineStr">
        <is>
          <t>TIJERA DEL RH MAZDA 3</t>
        </is>
      </c>
      <c r="D29" s="10" t="n">
        <v>1</v>
      </c>
      <c r="E29" s="10" t="inlineStr">
        <is>
          <t>Revisar / reponer pronto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48" customWidth="1" min="1" max="1"/>
    <col width="22" customWidth="1" min="2" max="2"/>
  </cols>
  <sheetData>
    <row r="1">
      <c r="A1" s="11" t="inlineStr">
        <is>
          <t>Concepto</t>
        </is>
      </c>
      <c r="B1" s="11" t="inlineStr">
        <is>
          <t>Valor</t>
        </is>
      </c>
    </row>
    <row r="2">
      <c r="A2" t="inlineStr">
        <is>
          <t>Total referencias activas</t>
        </is>
      </c>
      <c r="B2" s="12">
        <f>COUNTIF('Inventario'!A2:A155,"?*")</f>
        <v/>
      </c>
    </row>
    <row r="3">
      <c r="A3" t="inlineStr">
        <is>
          <t>Total piezas en stock</t>
        </is>
      </c>
      <c r="B3" s="12">
        <f>SUM('Inventario'!D2:D155)</f>
        <v/>
      </c>
    </row>
    <row r="4">
      <c r="A4" t="inlineStr"/>
    </row>
    <row r="5">
      <c r="A5" s="13" t="inlineStr">
        <is>
          <t>── INVERSIÓN ──</t>
        </is>
      </c>
    </row>
    <row r="6">
      <c r="A6" t="inlineStr">
        <is>
          <t>Inversión facturas con IVA (stock)</t>
        </is>
      </c>
      <c r="B6" s="14">
        <f>SUMPRODUCT('Inventario'!H2:H155,'Inventario'!D2:D155)</f>
        <v/>
      </c>
    </row>
    <row r="7">
      <c r="A7" t="inlineStr">
        <is>
          <t>Costo real total en bodega</t>
        </is>
      </c>
      <c r="B7" s="14">
        <f>SUM('Inventario'!S2:S155)</f>
        <v/>
      </c>
    </row>
    <row r="8">
      <c r="A8" t="inlineStr">
        <is>
          <t>Fondo logística moto (stock)</t>
        </is>
      </c>
      <c r="B8" s="14">
        <f>SUM('Inventario'!R2:R155)</f>
        <v/>
      </c>
    </row>
    <row r="9">
      <c r="A9" t="inlineStr"/>
    </row>
    <row r="10">
      <c r="A10" s="13" t="inlineStr">
        <is>
          <t>── GANANCIA SI VENDES TODO EL STOCK ──</t>
        </is>
      </c>
    </row>
    <row r="11">
      <c r="A11" s="15" t="inlineStr">
        <is>
          <t>Ganancia total Taller</t>
        </is>
      </c>
      <c r="B11" s="16">
        <f>SUM('Inventario'!T2:T155)</f>
        <v/>
      </c>
    </row>
    <row r="12">
      <c r="A12" s="15" t="inlineStr">
        <is>
          <t>Ganancia total Público</t>
        </is>
      </c>
      <c r="B12" s="16">
        <f>SUM('Inventario'!U2:U155)</f>
        <v/>
      </c>
    </row>
    <row r="13">
      <c r="A13" t="inlineStr"/>
    </row>
    <row r="14">
      <c r="A14" s="13" t="inlineStr">
        <is>
          <t>── OTROS ──</t>
        </is>
      </c>
    </row>
    <row r="15">
      <c r="A15" t="inlineStr">
        <is>
          <t>Ahorro mayorista (reinversión)</t>
        </is>
      </c>
      <c r="B15" s="14">
        <f>SUM('Inventario'!V2:V155)</f>
        <v/>
      </c>
    </row>
    <row r="16">
      <c r="A16" t="inlineStr">
        <is>
          <t>Última actualización precios</t>
        </is>
      </c>
      <c r="B16" t="inlineStr">
        <is>
          <t>2026-06-23 16:23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2026-06-09T00:29:37Z</dcterms:created>
  <dcterms:modified xmlns:dcterms="http://purl.org/dc/terms/" xmlns:xsi="http://www.w3.org/2001/XMLSchema-instance" xsi:type="dcterms:W3CDTF">2026-06-23T21:23:15Z</dcterms:modified>
</cp:coreProperties>
</file>