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apex sas\pedidios\pedido general\5 de junio de 2026\"/>
    </mc:Choice>
  </mc:AlternateContent>
  <xr:revisionPtr revIDLastSave="0" documentId="13_ncr:1_{65792C96-080B-4F96-BF23-3503479E916A}" xr6:coauthVersionLast="47" xr6:coauthVersionMax="47" xr10:uidLastSave="{00000000-0000-0000-0000-000000000000}"/>
  <bookViews>
    <workbookView xWindow="28680" yWindow="-120" windowWidth="29040" windowHeight="15720" tabRatio="637" xr2:uid="{00000000-000D-0000-FFFF-FFFF00000000}"/>
  </bookViews>
  <sheets>
    <sheet name="RESUMEN PEDIDOS" sheetId="1" r:id="rId1"/>
    <sheet name="Chevrolet" sheetId="2" r:id="rId2"/>
    <sheet name="Chevrolet_Daewoo" sheetId="3" r:id="rId3"/>
    <sheet name="Chevrolet_Mazda" sheetId="4" r:id="rId4"/>
    <sheet name="Chevrolet_Nissan" sheetId="5" r:id="rId5"/>
    <sheet name="Ford" sheetId="6" r:id="rId6"/>
    <sheet name="Hyundai" sheetId="7" r:id="rId7"/>
    <sheet name="Hyundai_Kia" sheetId="8" r:id="rId8"/>
    <sheet name="Kia" sheetId="9" r:id="rId9"/>
    <sheet name="Kia_Hyundai" sheetId="10" r:id="rId10"/>
    <sheet name="Mazda" sheetId="11" r:id="rId11"/>
    <sheet name="Mazda_Ford" sheetId="13" r:id="rId12"/>
    <sheet name="Mazda_Kia" sheetId="14" r:id="rId13"/>
    <sheet name="Nissan" sheetId="15" r:id="rId14"/>
    <sheet name="Renault" sheetId="16" r:id="rId15"/>
    <sheet name="Suzuki" sheetId="17" r:id="rId16"/>
    <sheet name="Toyota" sheetId="18" r:id="rId17"/>
    <sheet name="Volkswagen" sheetId="1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9" l="1"/>
  <c r="J6" i="19"/>
  <c r="H5" i="19"/>
  <c r="J5" i="19" s="1"/>
  <c r="H4" i="19"/>
  <c r="J4" i="19" s="1"/>
  <c r="H3" i="19"/>
  <c r="J3" i="19" s="1"/>
  <c r="H4" i="18"/>
  <c r="J4" i="18"/>
  <c r="H5" i="18"/>
  <c r="H3" i="18"/>
  <c r="J3" i="18" s="1"/>
  <c r="H3" i="17"/>
  <c r="J3" i="17" s="1"/>
  <c r="H29" i="16"/>
  <c r="H30" i="16"/>
  <c r="J30" i="16"/>
  <c r="H31" i="16"/>
  <c r="H32" i="16"/>
  <c r="J32" i="16"/>
  <c r="H33" i="16"/>
  <c r="H34" i="16"/>
  <c r="J34" i="16"/>
  <c r="H35" i="16"/>
  <c r="H36" i="16"/>
  <c r="J36" i="16"/>
  <c r="H37" i="16"/>
  <c r="H28" i="16"/>
  <c r="J28" i="16" s="1"/>
  <c r="H4" i="16"/>
  <c r="J4" i="16"/>
  <c r="H5" i="16"/>
  <c r="J5" i="16"/>
  <c r="H6" i="16"/>
  <c r="J6" i="16"/>
  <c r="H7" i="16"/>
  <c r="J7" i="16"/>
  <c r="H8" i="16"/>
  <c r="J8" i="16"/>
  <c r="H9" i="16"/>
  <c r="J9" i="16"/>
  <c r="H10" i="16"/>
  <c r="J10" i="16"/>
  <c r="H11" i="16"/>
  <c r="J11" i="16"/>
  <c r="H12" i="16"/>
  <c r="J12" i="16"/>
  <c r="H13" i="16"/>
  <c r="J13" i="16"/>
  <c r="H14" i="16"/>
  <c r="J14" i="16"/>
  <c r="H15" i="16"/>
  <c r="J15" i="16"/>
  <c r="H16" i="16"/>
  <c r="J16" i="16"/>
  <c r="H17" i="16"/>
  <c r="J17" i="16"/>
  <c r="H18" i="16"/>
  <c r="J18" i="16"/>
  <c r="H19" i="16"/>
  <c r="J19" i="16"/>
  <c r="H20" i="16"/>
  <c r="J20" i="16"/>
  <c r="H21" i="16"/>
  <c r="J21" i="16"/>
  <c r="H22" i="16"/>
  <c r="J22" i="16"/>
  <c r="H23" i="16"/>
  <c r="J23" i="16"/>
  <c r="H24" i="16"/>
  <c r="J24" i="16"/>
  <c r="H25" i="16"/>
  <c r="J25" i="16"/>
  <c r="H26" i="16"/>
  <c r="J26" i="16"/>
  <c r="H27" i="16"/>
  <c r="J27" i="16"/>
  <c r="H3" i="16"/>
  <c r="J3" i="16" s="1"/>
  <c r="H3" i="14"/>
  <c r="J3" i="14" s="1"/>
  <c r="H6" i="15"/>
  <c r="J6" i="15" s="1"/>
  <c r="H5" i="15"/>
  <c r="J5" i="15" s="1"/>
  <c r="H4" i="15"/>
  <c r="J4" i="15" s="1"/>
  <c r="H3" i="15"/>
  <c r="J3" i="15" s="1"/>
  <c r="H5" i="13"/>
  <c r="J5" i="13"/>
  <c r="H6" i="13"/>
  <c r="J6" i="13"/>
  <c r="H7" i="13"/>
  <c r="J7" i="13"/>
  <c r="H4" i="13"/>
  <c r="J4" i="13" s="1"/>
  <c r="J3" i="13"/>
  <c r="H3" i="13"/>
  <c r="H14" i="11"/>
  <c r="H13" i="11"/>
  <c r="J13" i="11"/>
  <c r="J14" i="11"/>
  <c r="H15" i="11"/>
  <c r="J15" i="11" s="1"/>
  <c r="H5" i="11"/>
  <c r="H6" i="11"/>
  <c r="J6" i="11"/>
  <c r="H7" i="11"/>
  <c r="J7" i="11"/>
  <c r="H8" i="11"/>
  <c r="J8" i="11"/>
  <c r="H9" i="11"/>
  <c r="H10" i="11"/>
  <c r="J10" i="11"/>
  <c r="H11" i="11"/>
  <c r="J11" i="11"/>
  <c r="H12" i="11"/>
  <c r="J12" i="11"/>
  <c r="H4" i="11"/>
  <c r="J4" i="11" s="1"/>
  <c r="J3" i="11"/>
  <c r="H3" i="11"/>
  <c r="H4" i="10"/>
  <c r="J4" i="10" s="1"/>
  <c r="H3" i="10"/>
  <c r="J3" i="10" s="1"/>
  <c r="H7" i="9"/>
  <c r="J7" i="9" s="1"/>
  <c r="H6" i="9"/>
  <c r="H5" i="9"/>
  <c r="J5" i="9" s="1"/>
  <c r="H4" i="9"/>
  <c r="H3" i="9"/>
  <c r="J3" i="9" s="1"/>
  <c r="H5" i="8"/>
  <c r="J5" i="8"/>
  <c r="H6" i="8"/>
  <c r="J6" i="8"/>
  <c r="H7" i="8"/>
  <c r="J7" i="8"/>
  <c r="H8" i="8"/>
  <c r="J8" i="8"/>
  <c r="H9" i="8"/>
  <c r="J9" i="8"/>
  <c r="H10" i="8"/>
  <c r="J10" i="8"/>
  <c r="H11" i="8"/>
  <c r="J11" i="8"/>
  <c r="H12" i="8"/>
  <c r="J12" i="8"/>
  <c r="H13" i="8"/>
  <c r="J13" i="8"/>
  <c r="H14" i="8"/>
  <c r="J14" i="8"/>
  <c r="H15" i="8"/>
  <c r="J15" i="8"/>
  <c r="H4" i="8"/>
  <c r="J4" i="8" s="1"/>
  <c r="J3" i="8"/>
  <c r="H3" i="8"/>
  <c r="H4" i="6"/>
  <c r="H5" i="6"/>
  <c r="J5" i="6"/>
  <c r="H6" i="6"/>
  <c r="J6" i="6"/>
  <c r="H7" i="6"/>
  <c r="J7" i="6"/>
  <c r="H3" i="6"/>
  <c r="J3" i="6" s="1"/>
  <c r="H4" i="7"/>
  <c r="J4" i="7"/>
  <c r="H3" i="7"/>
  <c r="J3" i="7" s="1"/>
  <c r="H3" i="5"/>
  <c r="J3" i="5" s="1"/>
  <c r="H3" i="4"/>
  <c r="J3" i="4" s="1"/>
  <c r="H5" i="3"/>
  <c r="H4" i="3"/>
  <c r="J4" i="3" s="1"/>
  <c r="H3" i="3"/>
  <c r="J3" i="3" s="1"/>
  <c r="H26" i="2"/>
  <c r="H27" i="2"/>
  <c r="H28" i="2"/>
  <c r="J25" i="2"/>
  <c r="J26" i="2"/>
  <c r="J27" i="2"/>
  <c r="J28" i="2"/>
  <c r="H25" i="2"/>
  <c r="H4" i="2"/>
  <c r="J4" i="2"/>
  <c r="H5" i="2"/>
  <c r="J5" i="2"/>
  <c r="H6" i="2"/>
  <c r="H7" i="2"/>
  <c r="J7" i="2"/>
  <c r="H8" i="2"/>
  <c r="J8" i="2"/>
  <c r="H9" i="2"/>
  <c r="J9" i="2"/>
  <c r="H10" i="2"/>
  <c r="J10" i="2"/>
  <c r="H11" i="2"/>
  <c r="J11" i="2"/>
  <c r="H12" i="2"/>
  <c r="J12" i="2"/>
  <c r="H13" i="2"/>
  <c r="J13" i="2"/>
  <c r="H14" i="2"/>
  <c r="J14" i="2"/>
  <c r="H15" i="2"/>
  <c r="J15" i="2"/>
  <c r="H16" i="2"/>
  <c r="J16" i="2"/>
  <c r="H17" i="2"/>
  <c r="J17" i="2"/>
  <c r="H18" i="2"/>
  <c r="J18" i="2"/>
  <c r="H19" i="2"/>
  <c r="J19" i="2"/>
  <c r="H20" i="2"/>
  <c r="J20" i="2"/>
  <c r="H21" i="2"/>
  <c r="J21" i="2"/>
  <c r="H22" i="2"/>
  <c r="J22" i="2"/>
  <c r="H23" i="2"/>
  <c r="J23" i="2"/>
  <c r="H24" i="2"/>
  <c r="J24" i="2"/>
  <c r="J3" i="2"/>
  <c r="H3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4" i="1"/>
  <c r="H4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12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5" i="1"/>
  <c r="J5" i="18" l="1"/>
  <c r="J35" i="16"/>
  <c r="J31" i="16"/>
  <c r="J37" i="16"/>
  <c r="J33" i="16"/>
  <c r="J29" i="16"/>
  <c r="J9" i="11"/>
  <c r="J5" i="11"/>
  <c r="J6" i="9"/>
  <c r="J4" i="9"/>
  <c r="J4" i="6"/>
  <c r="J5" i="3"/>
  <c r="J6" i="2"/>
</calcChain>
</file>

<file path=xl/sharedStrings.xml><?xml version="1.0" encoding="utf-8"?>
<sst xmlns="http://schemas.openxmlformats.org/spreadsheetml/2006/main" count="1421" uniqueCount="307">
  <si>
    <t>📦  PEDIDOS KTC — 5 JUNIO 2025</t>
  </si>
  <si>
    <t>Organizado por marca de vehículo  |  Precios: TEXIM y DMB</t>
  </si>
  <si>
    <t>CAJA</t>
  </si>
  <si>
    <t>REFERENCIA</t>
  </si>
  <si>
    <t>DESCRIPCIÓN DEL PRODUCTO</t>
  </si>
  <si>
    <t>MARCA DE CARRO</t>
  </si>
  <si>
    <t>PROVEEDOR</t>
  </si>
  <si>
    <t>PRECIO TEXIM (COP)</t>
  </si>
  <si>
    <t>PRECIO DMB (COP)</t>
  </si>
  <si>
    <t>CAJA 1 - Pedido 1</t>
  </si>
  <si>
    <t>KTR-4016</t>
  </si>
  <si>
    <t>Terminal Dirección Optra DER</t>
  </si>
  <si>
    <t>Chevrolet</t>
  </si>
  <si>
    <t>KTC</t>
  </si>
  <si>
    <t>KSL-1005</t>
  </si>
  <si>
    <t>Bieleta Estab. Luv Dmax 4x4 RT50 Del IZQ</t>
  </si>
  <si>
    <t>KBJ-4013</t>
  </si>
  <si>
    <t>Rótula Luv 2300 SUP</t>
  </si>
  <si>
    <t>KTR-4035</t>
  </si>
  <si>
    <t>Terminal Dirección Sail IZQ</t>
  </si>
  <si>
    <t>KBJ-4001</t>
  </si>
  <si>
    <t>Rótula Aveo-Sail</t>
  </si>
  <si>
    <t>KTR-4034</t>
  </si>
  <si>
    <t>Terminal Dirección Sail DER</t>
  </si>
  <si>
    <t>KBJ-4008</t>
  </si>
  <si>
    <t>Rótula Luv 2300 4x4 D-Max 4x2-4x4 Trooper INF (x2)</t>
  </si>
  <si>
    <t>CAJA 1 - Pedido 2</t>
  </si>
  <si>
    <t>KTR-4019</t>
  </si>
  <si>
    <t>Terminal Dir Spark GT 1.2</t>
  </si>
  <si>
    <t>KTR-4015</t>
  </si>
  <si>
    <t>Terminal Dir Optra IZQ</t>
  </si>
  <si>
    <t>KTR-4002</t>
  </si>
  <si>
    <t>Terminal Dir Aveo DER</t>
  </si>
  <si>
    <t>KTR-4003</t>
  </si>
  <si>
    <t>Terminal Dir Aveo IZQ</t>
  </si>
  <si>
    <t>KSL-1006</t>
  </si>
  <si>
    <t>Bieleta Estab. Luv D-Max 4x4 RT-50 Del DER</t>
  </si>
  <si>
    <t>KSL-1004</t>
  </si>
  <si>
    <t>Bieleta Estab. Spark GT</t>
  </si>
  <si>
    <t>KRE-3015</t>
  </si>
  <si>
    <t>Terminal Axial Spark Chronos-Matiz</t>
  </si>
  <si>
    <t>KRE-3002</t>
  </si>
  <si>
    <t>Terminal Axial Aveo DER</t>
  </si>
  <si>
    <t>CAJA 2 - Pedido 2</t>
  </si>
  <si>
    <t>KSL-1010</t>
  </si>
  <si>
    <t>Bieleta Estab. Optra Del DER</t>
  </si>
  <si>
    <t>KSL-1011</t>
  </si>
  <si>
    <t>Bieleta Estab. Optra Del IZQ</t>
  </si>
  <si>
    <t>KRE-3013</t>
  </si>
  <si>
    <t>Terminal Axial Sail</t>
  </si>
  <si>
    <t>KRE-3026</t>
  </si>
  <si>
    <t>Terminal Axial Captiva 3.2 Tracker II 368mm-M14</t>
  </si>
  <si>
    <t>CAJA 4 - Pedido 2</t>
  </si>
  <si>
    <t>KSA-CH043</t>
  </si>
  <si>
    <t>Amortiguador Captiva 18-08 2.4 Del IZQ</t>
  </si>
  <si>
    <t>KSA-CH042</t>
  </si>
  <si>
    <t>Amortiguador Captiva 18-08 2.4 Del DER</t>
  </si>
  <si>
    <t>CAJA 5 - Pedido 2</t>
  </si>
  <si>
    <t>KBJ-4091</t>
  </si>
  <si>
    <t>Rótula Cobalt-Tracker-Sonic-Onix</t>
  </si>
  <si>
    <t>KTR-4018</t>
  </si>
  <si>
    <t>Terminal Dir Spark Chronos / Daewoo Matiz-Tico</t>
  </si>
  <si>
    <t>Chevrolet/Daewoo</t>
  </si>
  <si>
    <t>KSA-DA001</t>
  </si>
  <si>
    <t>Amortiguador Spark 7.24 / Daewoo Matiz II Del DER</t>
  </si>
  <si>
    <t>KSA-DA002</t>
  </si>
  <si>
    <t>Amortiguador Spark 7.24 / Daewoo Matiz II Del IZQ</t>
  </si>
  <si>
    <t>KSL-1001</t>
  </si>
  <si>
    <t>Bieleta Estab. Aveo / Allegro</t>
  </si>
  <si>
    <t>Chevrolet/Mazda</t>
  </si>
  <si>
    <t>KSL-1013</t>
  </si>
  <si>
    <t>Bieleta Estab. Swift-Esteem-Vitara / Nissan Sentra</t>
  </si>
  <si>
    <t>Chevrolet/Nissan</t>
  </si>
  <si>
    <t>KTR-4333</t>
  </si>
  <si>
    <t>Terminal Dirección Fiesta 18-12 IZQ</t>
  </si>
  <si>
    <t>Ford</t>
  </si>
  <si>
    <t>KTR-4332</t>
  </si>
  <si>
    <t>Terminal Dir Ford Fiesta 18-12 DER</t>
  </si>
  <si>
    <t>KRE-3024</t>
  </si>
  <si>
    <t>Terminal Axial Ford Fiesta 18-12 SE</t>
  </si>
  <si>
    <t>KSA-FO001</t>
  </si>
  <si>
    <t>Amortiguador Ford Fiesta Del IZQ</t>
  </si>
  <si>
    <t>KSA-FO002</t>
  </si>
  <si>
    <t>Amortiguador Ford Fiesta Del DER</t>
  </si>
  <si>
    <t>KRE-3103</t>
  </si>
  <si>
    <t>Terminal Axial Atos-Santro</t>
  </si>
  <si>
    <t>Hyundai</t>
  </si>
  <si>
    <t>KBJ-4021</t>
  </si>
  <si>
    <t>Rótula Hyundai Atos-Santro</t>
  </si>
  <si>
    <t>Hyundai/Kia</t>
  </si>
  <si>
    <t>KTR-4204</t>
  </si>
  <si>
    <t>Terminal Dir H Atos-Santro-i10 / Kia Picanto-Stylus</t>
  </si>
  <si>
    <t>KTR-4213</t>
  </si>
  <si>
    <t>Terminal Dir Accent Vision IZQ / Kia Rio Xcite IZQ</t>
  </si>
  <si>
    <t>KTR-4212</t>
  </si>
  <si>
    <t>Terminal Dir Accent Vision DER / Kia Rio Xcite DER</t>
  </si>
  <si>
    <t>KSL-2014</t>
  </si>
  <si>
    <t>Bieleta Estab. Hyundai i10 Del DER / Grand i10 / Elantra / Kia Picanto Morning</t>
  </si>
  <si>
    <t>KRE-3102</t>
  </si>
  <si>
    <t>Terminal Axial Accent Vision / Kia Rio Xcite</t>
  </si>
  <si>
    <t>KSL-2003</t>
  </si>
  <si>
    <t>Bieleta Estab. Accent Vision / Kia Rio Xcite IZQ</t>
  </si>
  <si>
    <t>KSL-2002</t>
  </si>
  <si>
    <t>Bieleta Estab. Accent Vision / Kia Rio Xcite DER</t>
  </si>
  <si>
    <t>KSL-2013</t>
  </si>
  <si>
    <t>Bieleta Estab. Hyundai i10 Del IZQ / Grand i10 / Elantra / Kia Picanto Morning</t>
  </si>
  <si>
    <t>CAJA 3 - Pedido 2</t>
  </si>
  <si>
    <t>KSA-HY014</t>
  </si>
  <si>
    <t>Amortiguador Accent Vision / Kia Rio Xcite DEL DER</t>
  </si>
  <si>
    <t>Amortiguador Accent Vision / Kia Rio Xcite DEL IZQ</t>
  </si>
  <si>
    <t>KBJ-4023</t>
  </si>
  <si>
    <t>Rótula Hyundai i10 EON / Kia Picanto Morning Presión</t>
  </si>
  <si>
    <t>KSA-HY016</t>
  </si>
  <si>
    <t>Amortiguador Accent Vision / Kia Rio Xcite TRAS (x2)</t>
  </si>
  <si>
    <t>KSA-KI024</t>
  </si>
  <si>
    <t>Amortiguador Picanto ION Delantero Der GAS</t>
  </si>
  <si>
    <t>Kia</t>
  </si>
  <si>
    <t>KTR-4217</t>
  </si>
  <si>
    <t>Terminal Dirección Picanto 17-12 ION Xtreme 1.2 IZQ</t>
  </si>
  <si>
    <t>KTR-4223</t>
  </si>
  <si>
    <t>Terminal Dirección Picanto 20-18 ION IZQ</t>
  </si>
  <si>
    <t>KTR-4222</t>
  </si>
  <si>
    <t>Terminal Dir Kia Picanto 20-18 ION DER</t>
  </si>
  <si>
    <t>Amortiguador Kia Picanto 17-13 ION Del IZQ GAS</t>
  </si>
  <si>
    <t>KRE-3114</t>
  </si>
  <si>
    <t>Terminal Axial Kia Picanto ION / Hyundai i10 Hidráulico</t>
  </si>
  <si>
    <t>Kia/Hyundai</t>
  </si>
  <si>
    <t>KBJ-4030</t>
  </si>
  <si>
    <t>Rótula Kia Picanto ION-Spice 1 Soul / Hyundai i10 Grand Presión</t>
  </si>
  <si>
    <t>KBJ-4042</t>
  </si>
  <si>
    <t>Rótula BT-50 4x2 4x4 SUP Gasol B2000-2200 SUP</t>
  </si>
  <si>
    <t>Mazda</t>
  </si>
  <si>
    <t>KTR-4302</t>
  </si>
  <si>
    <t>Terminal Dirección Mazda 2 15-08 IZQ</t>
  </si>
  <si>
    <t>KTR-4301</t>
  </si>
  <si>
    <t>Terminal Dir Mazda 2 15-08 DER</t>
  </si>
  <si>
    <t>KSL-2108</t>
  </si>
  <si>
    <t>Bieleta Estab. Mazda 3 13-03 DEL</t>
  </si>
  <si>
    <t>KSL-2103</t>
  </si>
  <si>
    <t>Bieleta Estab. Mazda 2 22-08 Skyactive / CX30-CX3 Skyactive Del</t>
  </si>
  <si>
    <t>KRE-3202</t>
  </si>
  <si>
    <t>Terminal Axial Mazda 3 10-02</t>
  </si>
  <si>
    <t>KTR-4304</t>
  </si>
  <si>
    <t>Terminal Dir Mazda 3 14-03 DER</t>
  </si>
  <si>
    <t>KTR-4303</t>
  </si>
  <si>
    <t>Terminal Dir Mazda 3 14-03 IZQ</t>
  </si>
  <si>
    <t>KSA-MA001</t>
  </si>
  <si>
    <t>Amortiguador Mazda 2 13-07 Del DER</t>
  </si>
  <si>
    <t>KSA-MA002</t>
  </si>
  <si>
    <t>Amortiguador Delantero Izquierdo</t>
  </si>
  <si>
    <t>Mazda 2</t>
  </si>
  <si>
    <t>KBJ-4085</t>
  </si>
  <si>
    <t>Rótula Mazda 2 15-08 Skyactive 19-16 / Ford Fiesta 17-11</t>
  </si>
  <si>
    <t>Mazda/Ford</t>
  </si>
  <si>
    <t>Rótula BT-50 4x4 INF Cono 19.5mm / Ford Ranger 4x4 INF</t>
  </si>
  <si>
    <t>KTR-4308</t>
  </si>
  <si>
    <t>Terminal Dirección M6 / Ford Edge-Fusion DER</t>
  </si>
  <si>
    <t>KTR-4309</t>
  </si>
  <si>
    <t>Terminal Dir M6 / Ford Edge-Fusion IZQ</t>
  </si>
  <si>
    <t>KSL-2107</t>
  </si>
  <si>
    <t>Bieleta Estab. Mazda 2 07-02 / Ford Fiesta-Fusion</t>
  </si>
  <si>
    <t>KRE-3210</t>
  </si>
  <si>
    <t>Terminal Axial Mazda 2 15-07 / Kia Picanto ION Dir Mecánica M14x1.5</t>
  </si>
  <si>
    <t>Mazda/Kia</t>
  </si>
  <si>
    <t>KBJ-4053</t>
  </si>
  <si>
    <t>Rótula D22 4x2-4x4 Frontier 4x4 SUP</t>
  </si>
  <si>
    <t>Nissan</t>
  </si>
  <si>
    <t>KBJ-4051</t>
  </si>
  <si>
    <t>Rótula D21 Frontier NP300 4x2 Gasol INF Urban INF</t>
  </si>
  <si>
    <t>KTR-5129</t>
  </si>
  <si>
    <t>Terminal Dirección March IZQ</t>
  </si>
  <si>
    <t>KTR-5130</t>
  </si>
  <si>
    <t>Terminal Dirección March K11 Note DER</t>
  </si>
  <si>
    <t>KSA-RE047</t>
  </si>
  <si>
    <t>Amortiguador Clio Campus Delantero (x2)</t>
  </si>
  <si>
    <t>Renault</t>
  </si>
  <si>
    <t>KBJ-4068</t>
  </si>
  <si>
    <t>Rótula Logan 15-06 Sandero 15-06 MG2 SC2</t>
  </si>
  <si>
    <t>KBJ-4064</t>
  </si>
  <si>
    <t>Rótula R9-19-21RC-CL-TW</t>
  </si>
  <si>
    <t>KBJ-4065</t>
  </si>
  <si>
    <t>Rótula Clio 2</t>
  </si>
  <si>
    <t>KBJ-4108</t>
  </si>
  <si>
    <t>Rótula Logan 23-16 Sandero 23-16 STW 23-16</t>
  </si>
  <si>
    <t>KTR-6013</t>
  </si>
  <si>
    <t>Terminal Dirección Megane 2 IZQ</t>
  </si>
  <si>
    <t>KTR-6014</t>
  </si>
  <si>
    <t>Terminal Dirección Megane 2 DER</t>
  </si>
  <si>
    <t>KBJ-4066</t>
  </si>
  <si>
    <t>Rótula Duster</t>
  </si>
  <si>
    <t>KTR-6007</t>
  </si>
  <si>
    <t>Terminal Dir Logan I IZQ</t>
  </si>
  <si>
    <t>KTR-6005</t>
  </si>
  <si>
    <t>Terminal Dir Duster 4x4 IZQ</t>
  </si>
  <si>
    <t>KRE-6215</t>
  </si>
  <si>
    <t>Terminal Axial Megane II - Scenic II</t>
  </si>
  <si>
    <t>KTR-6006</t>
  </si>
  <si>
    <t>Terminal Dir Duster 4x4 DER</t>
  </si>
  <si>
    <t>KSL-3008</t>
  </si>
  <si>
    <t>Bieleta Estab. Twingo 16V DER</t>
  </si>
  <si>
    <t>KRE-6217</t>
  </si>
  <si>
    <t>Terminal Axial Logan II 20-11 Sandero II-Stepway II</t>
  </si>
  <si>
    <t>KSL-3007</t>
  </si>
  <si>
    <t>Bieleta Estab. Twingo 16V IZQ</t>
  </si>
  <si>
    <t>KRE-6211</t>
  </si>
  <si>
    <t>Terminal Axial Logan I 10-06 Sandero I rosca delgada</t>
  </si>
  <si>
    <t>KSL-3002</t>
  </si>
  <si>
    <t>Bieleta Estab. Duster</t>
  </si>
  <si>
    <t>KTR-6008</t>
  </si>
  <si>
    <t>Terminal Dir Logan I DER</t>
  </si>
  <si>
    <t>KRE-6209</t>
  </si>
  <si>
    <t>Terminal Axial Clio II-Megane I-Scenic I Larga 310mm</t>
  </si>
  <si>
    <t>KRE-6216</t>
  </si>
  <si>
    <t>Terminal Axial Twingo</t>
  </si>
  <si>
    <t>KSA-RE018</t>
  </si>
  <si>
    <t>Amortiguador Logan 22-16 II DEL (x2)</t>
  </si>
  <si>
    <t>KTR-6015</t>
  </si>
  <si>
    <t>Terminal Dir Clio II-SY-Megane I-Kangoo-TW II IZQ</t>
  </si>
  <si>
    <t>KTR-6016</t>
  </si>
  <si>
    <t>Terminal Dir Clio II-SY-Megane I-Kangoo-TW II DER</t>
  </si>
  <si>
    <t>KSA-RE028</t>
  </si>
  <si>
    <t>Amortiguador Renault Kwid DEL (x2)</t>
  </si>
  <si>
    <t>KSA-RE029</t>
  </si>
  <si>
    <t>Amortiguador Renault Kwid TRAS (x2)</t>
  </si>
  <si>
    <t>KRE-6401</t>
  </si>
  <si>
    <t>Terminal Axial Swift 1.2 1.4 18-13</t>
  </si>
  <si>
    <t>Suzuki</t>
  </si>
  <si>
    <t>KSL-5151</t>
  </si>
  <si>
    <t>Bieleta Estab. Hilux Vigo 4x4 Fortuner-Prado Del IZQ</t>
  </si>
  <si>
    <t>Toyota</t>
  </si>
  <si>
    <t>KSL-5150</t>
  </si>
  <si>
    <t>Bieleta Estab. Hilux Vigo 4x4 Fortuner-Prado Del DER</t>
  </si>
  <si>
    <t>KRE-5206</t>
  </si>
  <si>
    <t>Terminal Axial Hilux Vigo 4x4 05 Fortuner-Revo</t>
  </si>
  <si>
    <t>KBJ-6108</t>
  </si>
  <si>
    <t>Rótula VW Golf 1.6 Jetta 1.8-2.0 DER</t>
  </si>
  <si>
    <t>Volkswagen</t>
  </si>
  <si>
    <t>KBJ-6109</t>
  </si>
  <si>
    <t>Rótula VW Golf 1.6 Jetta 1.8-2.0 IZQ</t>
  </si>
  <si>
    <t>KRE-6802</t>
  </si>
  <si>
    <t>Terminal Axial VW Golf IV DER</t>
  </si>
  <si>
    <t>KSL-6022</t>
  </si>
  <si>
    <t>Bieleta Estab. VW Golf-Jetta 03-00</t>
  </si>
  <si>
    <t>CAJA 6 - Pedido DMB</t>
  </si>
  <si>
    <t>7700820028</t>
  </si>
  <si>
    <t>TIJERA DEL LH TWINGO</t>
  </si>
  <si>
    <t>DMB</t>
  </si>
  <si>
    <t>7700820029</t>
  </si>
  <si>
    <t>54501-1697R</t>
  </si>
  <si>
    <t>TIJERA DELANTERA RH TWINGO</t>
  </si>
  <si>
    <t>545001138R</t>
  </si>
  <si>
    <t>TIJERA DELANTERA RH DUSTER/OROCH</t>
  </si>
  <si>
    <t>54500A269R</t>
  </si>
  <si>
    <t>TIJERA DEL LH DUSTER/OROCH</t>
  </si>
  <si>
    <t>54500A268R</t>
  </si>
  <si>
    <t>TIJERA DEL RH LOGAN/SANDERO/2016</t>
  </si>
  <si>
    <t>545010294R</t>
  </si>
  <si>
    <t>TIJERA DEL LH LOGAN II/SANDERO II</t>
  </si>
  <si>
    <t>545004529R</t>
  </si>
  <si>
    <t>54501-0000M</t>
  </si>
  <si>
    <t>TIJERA DEL LH CLIO II/SYMBOL</t>
  </si>
  <si>
    <t>5450-0000M</t>
  </si>
  <si>
    <t>TIJERA DEL RH CLIO II/SYMBOL</t>
  </si>
  <si>
    <t>96535081</t>
  </si>
  <si>
    <t>TIJERA LH AVEO/SAIL</t>
  </si>
  <si>
    <t>96535082</t>
  </si>
  <si>
    <t>TIJERA RH AVEO/SAIL</t>
  </si>
  <si>
    <t>2595128</t>
  </si>
  <si>
    <t>TIJERA DEL RH CAPTIVA</t>
  </si>
  <si>
    <t>96819162</t>
  </si>
  <si>
    <t>TIJERA DEL LH CAPTIVA</t>
  </si>
  <si>
    <t>B32H-34-350</t>
  </si>
  <si>
    <t>TIJERA DEL LH MAZDA 3</t>
  </si>
  <si>
    <t>B32H-34-300</t>
  </si>
  <si>
    <t>TIJERA DEL RH MAZDA 3</t>
  </si>
  <si>
    <t>🚗  CHEVROLET</t>
  </si>
  <si>
    <t>🚗  CHEVROLET/DAEWOO</t>
  </si>
  <si>
    <t>🚗  CHEVROLET/MAZDA</t>
  </si>
  <si>
    <t>🚗  CHEVROLET/NISSAN</t>
  </si>
  <si>
    <t>🚗  FORD</t>
  </si>
  <si>
    <t>🚗  HYUNDAI</t>
  </si>
  <si>
    <t>🚗  HYUNDAI/KIA</t>
  </si>
  <si>
    <t>🚗  KIA</t>
  </si>
  <si>
    <t>🚗  KIA/HYUNDAI</t>
  </si>
  <si>
    <t>🚗  MAZDA</t>
  </si>
  <si>
    <t>🚗  MAZDA/FORD</t>
  </si>
  <si>
    <t>🚗  MAZDA/KIA</t>
  </si>
  <si>
    <t>🚗  NISSAN</t>
  </si>
  <si>
    <t>🚗  RENAULT</t>
  </si>
  <si>
    <t>🚗  SUZUKI</t>
  </si>
  <si>
    <t>🚗  TOYOTA</t>
  </si>
  <si>
    <t>🚗  VOLKSWAGEN</t>
  </si>
  <si>
    <t>KSA-HY015</t>
  </si>
  <si>
    <t xml:space="preserve">Amortiguador Mazda 2 13-08 Del DER GAS </t>
  </si>
  <si>
    <t xml:space="preserve">Amortiguador Mazda 2 13-08 Del IZQ GAS </t>
  </si>
  <si>
    <t>AMORTIGUADOR RENAULT CLIO CAMPUS DEL Esp Largo - Plato Bajo peq</t>
  </si>
  <si>
    <t>AMORTIGUADOR RENAULT LOGAN 22-16 DELANTERO 277mm x2</t>
  </si>
  <si>
    <t>KSA-KI025</t>
  </si>
  <si>
    <t>ROTULA HYUNDAI ACCENT VISION-KIA SEPHIA * * CJx2</t>
  </si>
  <si>
    <t>KBJ-4020</t>
  </si>
  <si>
    <t xml:space="preserve">Mazda </t>
  </si>
  <si>
    <t>ROTULA MAZDA 3 BK3P-34-300</t>
  </si>
  <si>
    <t>KBJ-4033</t>
  </si>
  <si>
    <t>KBJ-4043</t>
  </si>
  <si>
    <t>ROTULA HYUNDAI ACCENT VISION-KIA SEPHIA</t>
  </si>
  <si>
    <t>PRECIO TALLER</t>
  </si>
  <si>
    <t>PRECIO IVA +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</si>
</sst>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COP]"/>
    <numFmt numFmtId="165" formatCode="#,##0\ [$COP]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1F6B12"/>
      <name val="Arial"/>
      <family val="2"/>
    </font>
    <font>
      <b/>
      <sz val="13"/>
      <color rgb="FFFFFF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3" fillId="3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4" fillId="4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5" fontId="4" fillId="4" borderId="1" xfId="0" applyNumberFormat="1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left" vertical="center" wrapText="1"/>
    </xf>
    <xf numFmtId="165" fontId="7" fillId="4" borderId="1" xfId="0" applyNumberFormat="1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zoomScale="81" workbookViewId="0">
      <pane ySplit="3" topLeftCell="A73" activePane="bottomLeft" state="frozen"/>
      <selection activeCell="E30" sqref="E30"/>
      <selection pane="bottomLeft" activeCell="J77" sqref="J77"/>
    </sheetView>
  </sheetViews>
  <sheetFormatPr baseColWidth="10" defaultColWidth="9.109375" defaultRowHeight="34.950000000000003" customHeight="1" x14ac:dyDescent="0.3"/>
  <cols>
    <col min="1" max="1" width="22" style="10" customWidth="1"/>
    <col min="2" max="2" width="18" style="10" customWidth="1"/>
    <col min="3" max="3" width="52" style="10" customWidth="1"/>
    <col min="4" max="4" width="22" style="10" customWidth="1"/>
    <col min="5" max="5" width="21.88671875" style="10" customWidth="1"/>
    <col min="6" max="6" width="22" style="17" customWidth="1"/>
    <col min="7" max="10" width="22" style="10" customWidth="1"/>
    <col min="11" max="16384" width="9.109375" style="10"/>
  </cols>
  <sheetData>
    <row r="1" spans="1:10" ht="34.950000000000003" customHeight="1" x14ac:dyDescent="0.3">
      <c r="A1" s="32" t="s">
        <v>0</v>
      </c>
      <c r="B1" s="31"/>
      <c r="C1" s="31"/>
      <c r="D1" s="31"/>
      <c r="E1" s="31"/>
      <c r="F1" s="31"/>
      <c r="G1" s="31"/>
      <c r="H1" s="31"/>
    </row>
    <row r="2" spans="1:10" ht="34.950000000000003" customHeight="1" x14ac:dyDescent="0.3">
      <c r="A2" s="30" t="s">
        <v>1</v>
      </c>
      <c r="B2" s="31"/>
      <c r="C2" s="31"/>
      <c r="D2" s="31"/>
      <c r="E2" s="31"/>
      <c r="F2" s="31"/>
      <c r="G2" s="31"/>
      <c r="H2" s="31"/>
    </row>
    <row r="3" spans="1:10" ht="34.950000000000003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1" t="s">
        <v>7</v>
      </c>
      <c r="G3" s="1" t="s">
        <v>8</v>
      </c>
      <c r="H3" s="1" t="s">
        <v>306</v>
      </c>
      <c r="I3" s="1"/>
      <c r="J3" s="1" t="s">
        <v>305</v>
      </c>
    </row>
    <row r="4" spans="1:10" ht="34.950000000000003" customHeight="1" x14ac:dyDescent="0.3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12">
        <v>27500</v>
      </c>
      <c r="G4" s="3"/>
      <c r="H4" s="12">
        <f>F4*1.19+6000</f>
        <v>38725</v>
      </c>
      <c r="I4" s="12"/>
      <c r="J4" s="12">
        <f>H4/0.78</f>
        <v>49647.435897435898</v>
      </c>
    </row>
    <row r="5" spans="1:10" ht="34.950000000000003" customHeight="1" x14ac:dyDescent="0.3">
      <c r="A5" s="6" t="s">
        <v>9</v>
      </c>
      <c r="B5" s="6" t="s">
        <v>14</v>
      </c>
      <c r="C5" s="6" t="s">
        <v>15</v>
      </c>
      <c r="D5" s="6" t="s">
        <v>12</v>
      </c>
      <c r="E5" s="6" t="s">
        <v>13</v>
      </c>
      <c r="F5" s="13">
        <v>23630</v>
      </c>
      <c r="G5" s="5"/>
      <c r="H5" s="12">
        <f>F5*1.19</f>
        <v>28119.699999999997</v>
      </c>
      <c r="I5" s="12"/>
      <c r="J5" s="12">
        <f t="shared" ref="I5:J68" si="0">H5/0.78</f>
        <v>36050.89743589743</v>
      </c>
    </row>
    <row r="6" spans="1:10" ht="34.950000000000003" customHeight="1" x14ac:dyDescent="0.3">
      <c r="A6" s="7" t="s">
        <v>9</v>
      </c>
      <c r="B6" s="7" t="s">
        <v>16</v>
      </c>
      <c r="C6" s="7" t="s">
        <v>17</v>
      </c>
      <c r="D6" s="7" t="s">
        <v>12</v>
      </c>
      <c r="E6" s="7" t="s">
        <v>13</v>
      </c>
      <c r="F6" s="12">
        <v>31280</v>
      </c>
      <c r="G6" s="3"/>
      <c r="H6" s="12">
        <f t="shared" ref="H6:H69" si="1">F6*1.19</f>
        <v>37223.199999999997</v>
      </c>
      <c r="I6" s="12"/>
      <c r="J6" s="12">
        <f t="shared" si="0"/>
        <v>47722.051282051274</v>
      </c>
    </row>
    <row r="7" spans="1:10" ht="34.950000000000003" customHeight="1" x14ac:dyDescent="0.3">
      <c r="A7" s="6" t="s">
        <v>9</v>
      </c>
      <c r="B7" s="6" t="s">
        <v>18</v>
      </c>
      <c r="C7" s="6" t="s">
        <v>19</v>
      </c>
      <c r="D7" s="6" t="s">
        <v>12</v>
      </c>
      <c r="E7" s="6" t="s">
        <v>13</v>
      </c>
      <c r="F7" s="13">
        <v>26580</v>
      </c>
      <c r="G7" s="5"/>
      <c r="H7" s="12">
        <f t="shared" si="1"/>
        <v>31630.199999999997</v>
      </c>
      <c r="I7" s="12"/>
      <c r="J7" s="12">
        <f t="shared" si="0"/>
        <v>40551.538461538454</v>
      </c>
    </row>
    <row r="8" spans="1:10" ht="34.950000000000003" customHeight="1" x14ac:dyDescent="0.3">
      <c r="A8" s="7" t="s">
        <v>9</v>
      </c>
      <c r="B8" s="7" t="s">
        <v>20</v>
      </c>
      <c r="C8" s="7" t="s">
        <v>21</v>
      </c>
      <c r="D8" s="7" t="s">
        <v>12</v>
      </c>
      <c r="E8" s="7" t="s">
        <v>13</v>
      </c>
      <c r="F8" s="12">
        <v>23410</v>
      </c>
      <c r="G8" s="3"/>
      <c r="H8" s="12">
        <f t="shared" si="1"/>
        <v>27857.899999999998</v>
      </c>
      <c r="I8" s="12"/>
      <c r="J8" s="12">
        <f t="shared" si="0"/>
        <v>35715.256410256407</v>
      </c>
    </row>
    <row r="9" spans="1:10" ht="34.950000000000003" customHeight="1" x14ac:dyDescent="0.3">
      <c r="A9" s="6" t="s">
        <v>9</v>
      </c>
      <c r="B9" s="6" t="s">
        <v>22</v>
      </c>
      <c r="C9" s="6" t="s">
        <v>23</v>
      </c>
      <c r="D9" s="6" t="s">
        <v>12</v>
      </c>
      <c r="E9" s="6" t="s">
        <v>13</v>
      </c>
      <c r="F9" s="13">
        <v>26580</v>
      </c>
      <c r="G9" s="5"/>
      <c r="H9" s="12">
        <f t="shared" si="1"/>
        <v>31630.199999999997</v>
      </c>
      <c r="I9" s="12"/>
      <c r="J9" s="12">
        <f t="shared" si="0"/>
        <v>40551.538461538454</v>
      </c>
    </row>
    <row r="10" spans="1:10" ht="34.950000000000003" customHeight="1" x14ac:dyDescent="0.3">
      <c r="A10" s="7" t="s">
        <v>9</v>
      </c>
      <c r="B10" s="7" t="s">
        <v>24</v>
      </c>
      <c r="C10" s="7" t="s">
        <v>25</v>
      </c>
      <c r="D10" s="7" t="s">
        <v>12</v>
      </c>
      <c r="E10" s="7" t="s">
        <v>13</v>
      </c>
      <c r="F10" s="12">
        <v>47740</v>
      </c>
      <c r="G10" s="3"/>
      <c r="H10" s="12">
        <f t="shared" si="1"/>
        <v>56810.6</v>
      </c>
      <c r="I10" s="12"/>
      <c r="J10" s="12">
        <f t="shared" si="0"/>
        <v>72834.102564102563</v>
      </c>
    </row>
    <row r="11" spans="1:10" ht="34.950000000000003" customHeight="1" x14ac:dyDescent="0.3">
      <c r="A11" s="6" t="s">
        <v>26</v>
      </c>
      <c r="B11" s="6" t="s">
        <v>27</v>
      </c>
      <c r="C11" s="6" t="s">
        <v>28</v>
      </c>
      <c r="D11" s="6" t="s">
        <v>12</v>
      </c>
      <c r="E11" s="6" t="s">
        <v>13</v>
      </c>
      <c r="F11" s="13">
        <v>27680</v>
      </c>
      <c r="G11" s="5"/>
      <c r="H11" s="12">
        <f t="shared" si="1"/>
        <v>32939.199999999997</v>
      </c>
      <c r="I11" s="12"/>
      <c r="J11" s="12">
        <f t="shared" si="0"/>
        <v>42229.743589743586</v>
      </c>
    </row>
    <row r="12" spans="1:10" ht="34.950000000000003" customHeight="1" x14ac:dyDescent="0.3">
      <c r="A12" s="7" t="s">
        <v>26</v>
      </c>
      <c r="B12" s="7" t="s">
        <v>29</v>
      </c>
      <c r="C12" s="7" t="s">
        <v>30</v>
      </c>
      <c r="D12" s="7" t="s">
        <v>12</v>
      </c>
      <c r="E12" s="7" t="s">
        <v>13</v>
      </c>
      <c r="F12" s="12">
        <v>27500</v>
      </c>
      <c r="G12" s="3"/>
      <c r="H12" s="12">
        <f t="shared" si="1"/>
        <v>32725</v>
      </c>
      <c r="I12" s="12"/>
      <c r="J12" s="12">
        <f t="shared" si="0"/>
        <v>41955.128205128203</v>
      </c>
    </row>
    <row r="13" spans="1:10" ht="34.950000000000003" customHeight="1" x14ac:dyDescent="0.3">
      <c r="A13" s="6" t="s">
        <v>26</v>
      </c>
      <c r="B13" s="6" t="s">
        <v>31</v>
      </c>
      <c r="C13" s="6" t="s">
        <v>32</v>
      </c>
      <c r="D13" s="6" t="s">
        <v>12</v>
      </c>
      <c r="E13" s="6" t="s">
        <v>13</v>
      </c>
      <c r="F13" s="13">
        <v>24820</v>
      </c>
      <c r="G13" s="5"/>
      <c r="H13" s="12">
        <f t="shared" si="1"/>
        <v>29535.8</v>
      </c>
      <c r="I13" s="12"/>
      <c r="J13" s="12">
        <f t="shared" si="0"/>
        <v>37866.410256410258</v>
      </c>
    </row>
    <row r="14" spans="1:10" ht="34.950000000000003" customHeight="1" x14ac:dyDescent="0.3">
      <c r="A14" s="7" t="s">
        <v>26</v>
      </c>
      <c r="B14" s="7" t="s">
        <v>33</v>
      </c>
      <c r="C14" s="7" t="s">
        <v>34</v>
      </c>
      <c r="D14" s="7" t="s">
        <v>12</v>
      </c>
      <c r="E14" s="7" t="s">
        <v>13</v>
      </c>
      <c r="F14" s="12">
        <v>24820</v>
      </c>
      <c r="G14" s="3"/>
      <c r="H14" s="12">
        <f t="shared" si="1"/>
        <v>29535.8</v>
      </c>
      <c r="I14" s="12"/>
      <c r="J14" s="12">
        <f t="shared" si="0"/>
        <v>37866.410256410258</v>
      </c>
    </row>
    <row r="15" spans="1:10" ht="34.950000000000003" customHeight="1" x14ac:dyDescent="0.3">
      <c r="A15" s="6" t="s">
        <v>26</v>
      </c>
      <c r="B15" s="6" t="s">
        <v>35</v>
      </c>
      <c r="C15" s="6" t="s">
        <v>36</v>
      </c>
      <c r="D15" s="6" t="s">
        <v>12</v>
      </c>
      <c r="E15" s="6" t="s">
        <v>13</v>
      </c>
      <c r="F15" s="13">
        <v>23630</v>
      </c>
      <c r="G15" s="5"/>
      <c r="H15" s="12">
        <f t="shared" si="1"/>
        <v>28119.699999999997</v>
      </c>
      <c r="I15" s="12"/>
      <c r="J15" s="12">
        <f t="shared" si="0"/>
        <v>36050.89743589743</v>
      </c>
    </row>
    <row r="16" spans="1:10" ht="34.950000000000003" customHeight="1" x14ac:dyDescent="0.3">
      <c r="A16" s="7" t="s">
        <v>26</v>
      </c>
      <c r="B16" s="7" t="s">
        <v>37</v>
      </c>
      <c r="C16" s="7" t="s">
        <v>38</v>
      </c>
      <c r="D16" s="7" t="s">
        <v>12</v>
      </c>
      <c r="E16" s="7" t="s">
        <v>13</v>
      </c>
      <c r="F16" s="12">
        <v>18040</v>
      </c>
      <c r="G16" s="3"/>
      <c r="H16" s="12">
        <f t="shared" si="1"/>
        <v>21467.599999999999</v>
      </c>
      <c r="I16" s="12"/>
      <c r="J16" s="12">
        <f t="shared" si="0"/>
        <v>27522.564102564098</v>
      </c>
    </row>
    <row r="17" spans="1:10" ht="34.950000000000003" customHeight="1" x14ac:dyDescent="0.3">
      <c r="A17" s="6" t="s">
        <v>26</v>
      </c>
      <c r="B17" s="6" t="s">
        <v>39</v>
      </c>
      <c r="C17" s="6" t="s">
        <v>40</v>
      </c>
      <c r="D17" s="6" t="s">
        <v>12</v>
      </c>
      <c r="E17" s="6" t="s">
        <v>13</v>
      </c>
      <c r="F17" s="13">
        <v>20990</v>
      </c>
      <c r="G17" s="5"/>
      <c r="H17" s="12">
        <f t="shared" si="1"/>
        <v>24978.1</v>
      </c>
      <c r="I17" s="12"/>
      <c r="J17" s="12">
        <f t="shared" si="0"/>
        <v>32023.205128205125</v>
      </c>
    </row>
    <row r="18" spans="1:10" ht="34.950000000000003" customHeight="1" x14ac:dyDescent="0.3">
      <c r="A18" s="7" t="s">
        <v>26</v>
      </c>
      <c r="B18" s="7" t="s">
        <v>41</v>
      </c>
      <c r="C18" s="7" t="s">
        <v>42</v>
      </c>
      <c r="D18" s="7" t="s">
        <v>12</v>
      </c>
      <c r="E18" s="7" t="s">
        <v>13</v>
      </c>
      <c r="F18" s="12">
        <v>21910</v>
      </c>
      <c r="G18" s="3"/>
      <c r="H18" s="12">
        <f t="shared" si="1"/>
        <v>26072.899999999998</v>
      </c>
      <c r="I18" s="12"/>
      <c r="J18" s="12">
        <f t="shared" si="0"/>
        <v>33426.794871794868</v>
      </c>
    </row>
    <row r="19" spans="1:10" ht="34.950000000000003" customHeight="1" x14ac:dyDescent="0.3">
      <c r="A19" s="6" t="s">
        <v>43</v>
      </c>
      <c r="B19" s="6" t="s">
        <v>44</v>
      </c>
      <c r="C19" s="6" t="s">
        <v>45</v>
      </c>
      <c r="D19" s="6" t="s">
        <v>12</v>
      </c>
      <c r="E19" s="6" t="s">
        <v>13</v>
      </c>
      <c r="F19" s="13">
        <v>22220</v>
      </c>
      <c r="G19" s="5"/>
      <c r="H19" s="12">
        <f t="shared" si="1"/>
        <v>26441.8</v>
      </c>
      <c r="I19" s="12"/>
      <c r="J19" s="12">
        <f t="shared" si="0"/>
        <v>33899.743589743586</v>
      </c>
    </row>
    <row r="20" spans="1:10" ht="34.950000000000003" customHeight="1" x14ac:dyDescent="0.3">
      <c r="A20" s="7" t="s">
        <v>43</v>
      </c>
      <c r="B20" s="7" t="s">
        <v>46</v>
      </c>
      <c r="C20" s="7" t="s">
        <v>47</v>
      </c>
      <c r="D20" s="7" t="s">
        <v>12</v>
      </c>
      <c r="E20" s="7" t="s">
        <v>13</v>
      </c>
      <c r="F20" s="12">
        <v>22220</v>
      </c>
      <c r="G20" s="3"/>
      <c r="H20" s="12">
        <f t="shared" si="1"/>
        <v>26441.8</v>
      </c>
      <c r="I20" s="12"/>
      <c r="J20" s="12">
        <f t="shared" si="0"/>
        <v>33899.743589743586</v>
      </c>
    </row>
    <row r="21" spans="1:10" ht="34.950000000000003" customHeight="1" x14ac:dyDescent="0.3">
      <c r="A21" s="6" t="s">
        <v>43</v>
      </c>
      <c r="B21" s="6" t="s">
        <v>48</v>
      </c>
      <c r="C21" s="6" t="s">
        <v>49</v>
      </c>
      <c r="D21" s="6" t="s">
        <v>12</v>
      </c>
      <c r="E21" s="6" t="s">
        <v>13</v>
      </c>
      <c r="F21" s="13">
        <v>21470</v>
      </c>
      <c r="G21" s="5"/>
      <c r="H21" s="12">
        <f t="shared" si="1"/>
        <v>25549.3</v>
      </c>
      <c r="I21" s="12"/>
      <c r="J21" s="12">
        <f t="shared" si="0"/>
        <v>32755.512820512817</v>
      </c>
    </row>
    <row r="22" spans="1:10" ht="34.950000000000003" customHeight="1" x14ac:dyDescent="0.3">
      <c r="A22" s="7" t="s">
        <v>43</v>
      </c>
      <c r="B22" s="7" t="s">
        <v>50</v>
      </c>
      <c r="C22" s="7" t="s">
        <v>51</v>
      </c>
      <c r="D22" s="7" t="s">
        <v>12</v>
      </c>
      <c r="E22" s="7" t="s">
        <v>13</v>
      </c>
      <c r="F22" s="12">
        <v>25870</v>
      </c>
      <c r="G22" s="3"/>
      <c r="H22" s="12">
        <f t="shared" si="1"/>
        <v>30785.3</v>
      </c>
      <c r="I22" s="12"/>
      <c r="J22" s="12">
        <f t="shared" si="0"/>
        <v>39468.333333333328</v>
      </c>
    </row>
    <row r="23" spans="1:10" ht="34.950000000000003" customHeight="1" x14ac:dyDescent="0.3">
      <c r="A23" s="6" t="s">
        <v>52</v>
      </c>
      <c r="B23" s="6" t="s">
        <v>53</v>
      </c>
      <c r="C23" s="6" t="s">
        <v>54</v>
      </c>
      <c r="D23" s="6" t="s">
        <v>12</v>
      </c>
      <c r="E23" s="6" t="s">
        <v>13</v>
      </c>
      <c r="F23" s="13">
        <v>152460</v>
      </c>
      <c r="G23" s="5"/>
      <c r="H23" s="12">
        <f t="shared" si="1"/>
        <v>181427.4</v>
      </c>
      <c r="I23" s="12"/>
      <c r="J23" s="12">
        <f t="shared" si="0"/>
        <v>232599.23076923075</v>
      </c>
    </row>
    <row r="24" spans="1:10" ht="34.950000000000003" customHeight="1" x14ac:dyDescent="0.3">
      <c r="A24" s="7" t="s">
        <v>52</v>
      </c>
      <c r="B24" s="7" t="s">
        <v>55</v>
      </c>
      <c r="C24" s="7" t="s">
        <v>56</v>
      </c>
      <c r="D24" s="7" t="s">
        <v>12</v>
      </c>
      <c r="E24" s="7" t="s">
        <v>13</v>
      </c>
      <c r="F24" s="12">
        <v>152460</v>
      </c>
      <c r="G24" s="3"/>
      <c r="H24" s="12">
        <f t="shared" si="1"/>
        <v>181427.4</v>
      </c>
      <c r="I24" s="12"/>
      <c r="J24" s="12">
        <f t="shared" si="0"/>
        <v>232599.23076923075</v>
      </c>
    </row>
    <row r="25" spans="1:10" ht="34.950000000000003" customHeight="1" x14ac:dyDescent="0.3">
      <c r="A25" s="6" t="s">
        <v>57</v>
      </c>
      <c r="B25" s="6" t="s">
        <v>58</v>
      </c>
      <c r="C25" s="6" t="s">
        <v>59</v>
      </c>
      <c r="D25" s="6" t="s">
        <v>12</v>
      </c>
      <c r="E25" s="6" t="s">
        <v>13</v>
      </c>
      <c r="F25" s="13">
        <v>28420</v>
      </c>
      <c r="G25" s="5"/>
      <c r="H25" s="12">
        <f t="shared" si="1"/>
        <v>33819.799999999996</v>
      </c>
      <c r="I25" s="12"/>
      <c r="J25" s="12">
        <f t="shared" si="0"/>
        <v>43358.717948717938</v>
      </c>
    </row>
    <row r="26" spans="1:10" ht="34.950000000000003" customHeight="1" x14ac:dyDescent="0.3">
      <c r="A26" s="7" t="s">
        <v>26</v>
      </c>
      <c r="B26" s="7" t="s">
        <v>60</v>
      </c>
      <c r="C26" s="7" t="s">
        <v>61</v>
      </c>
      <c r="D26" s="7" t="s">
        <v>62</v>
      </c>
      <c r="E26" s="7" t="s">
        <v>13</v>
      </c>
      <c r="F26" s="12">
        <v>17290</v>
      </c>
      <c r="G26" s="3"/>
      <c r="H26" s="12">
        <f t="shared" si="1"/>
        <v>20575.099999999999</v>
      </c>
      <c r="I26" s="12"/>
      <c r="J26" s="12">
        <f t="shared" si="0"/>
        <v>26378.333333333332</v>
      </c>
    </row>
    <row r="27" spans="1:10" ht="34.950000000000003" customHeight="1" x14ac:dyDescent="0.3">
      <c r="A27" s="6" t="s">
        <v>52</v>
      </c>
      <c r="B27" s="6" t="s">
        <v>63</v>
      </c>
      <c r="C27" s="6" t="s">
        <v>64</v>
      </c>
      <c r="D27" s="6" t="s">
        <v>62</v>
      </c>
      <c r="E27" s="6" t="s">
        <v>13</v>
      </c>
      <c r="F27" s="13">
        <v>78800</v>
      </c>
      <c r="G27" s="5"/>
      <c r="H27" s="12">
        <f t="shared" si="1"/>
        <v>93772</v>
      </c>
      <c r="I27" s="12"/>
      <c r="J27" s="12">
        <f t="shared" si="0"/>
        <v>120220.51282051281</v>
      </c>
    </row>
    <row r="28" spans="1:10" ht="34.950000000000003" customHeight="1" x14ac:dyDescent="0.3">
      <c r="A28" s="7" t="s">
        <v>57</v>
      </c>
      <c r="B28" s="7" t="s">
        <v>65</v>
      </c>
      <c r="C28" s="7" t="s">
        <v>66</v>
      </c>
      <c r="D28" s="7" t="s">
        <v>62</v>
      </c>
      <c r="E28" s="7" t="s">
        <v>13</v>
      </c>
      <c r="F28" s="12">
        <v>78800</v>
      </c>
      <c r="G28" s="3"/>
      <c r="H28" s="12">
        <f t="shared" si="1"/>
        <v>93772</v>
      </c>
      <c r="I28" s="12"/>
      <c r="J28" s="12">
        <f t="shared" si="0"/>
        <v>120220.51282051281</v>
      </c>
    </row>
    <row r="29" spans="1:10" ht="34.950000000000003" customHeight="1" x14ac:dyDescent="0.3">
      <c r="A29" s="7" t="s">
        <v>43</v>
      </c>
      <c r="B29" s="7" t="s">
        <v>67</v>
      </c>
      <c r="C29" s="7" t="s">
        <v>68</v>
      </c>
      <c r="D29" s="7" t="s">
        <v>69</v>
      </c>
      <c r="E29" s="7" t="s">
        <v>13</v>
      </c>
      <c r="F29" s="12">
        <v>18220</v>
      </c>
      <c r="G29" s="3"/>
      <c r="H29" s="12">
        <f t="shared" si="1"/>
        <v>21681.8</v>
      </c>
      <c r="I29" s="12"/>
      <c r="J29" s="12">
        <f t="shared" si="0"/>
        <v>27797.179487179485</v>
      </c>
    </row>
    <row r="30" spans="1:10" ht="34.950000000000003" customHeight="1" x14ac:dyDescent="0.3">
      <c r="A30" s="7" t="s">
        <v>26</v>
      </c>
      <c r="B30" s="7" t="s">
        <v>70</v>
      </c>
      <c r="C30" s="7" t="s">
        <v>71</v>
      </c>
      <c r="D30" s="7" t="s">
        <v>72</v>
      </c>
      <c r="E30" s="7" t="s">
        <v>13</v>
      </c>
      <c r="F30" s="12">
        <v>17200</v>
      </c>
      <c r="G30" s="3"/>
      <c r="H30" s="12">
        <f t="shared" si="1"/>
        <v>20468</v>
      </c>
      <c r="I30" s="12"/>
      <c r="J30" s="12">
        <f t="shared" si="0"/>
        <v>26241.025641025641</v>
      </c>
    </row>
    <row r="31" spans="1:10" ht="34.950000000000003" customHeight="1" x14ac:dyDescent="0.3">
      <c r="A31" s="7" t="s">
        <v>9</v>
      </c>
      <c r="B31" s="7" t="s">
        <v>73</v>
      </c>
      <c r="C31" s="7" t="s">
        <v>74</v>
      </c>
      <c r="D31" s="7" t="s">
        <v>75</v>
      </c>
      <c r="E31" s="7" t="s">
        <v>13</v>
      </c>
      <c r="F31" s="12">
        <v>18920</v>
      </c>
      <c r="G31" s="3"/>
      <c r="H31" s="12">
        <f t="shared" si="1"/>
        <v>22514.799999999999</v>
      </c>
      <c r="I31" s="12"/>
      <c r="J31" s="12">
        <f t="shared" si="0"/>
        <v>28865.128205128203</v>
      </c>
    </row>
    <row r="32" spans="1:10" ht="34.950000000000003" customHeight="1" x14ac:dyDescent="0.3">
      <c r="A32" s="6" t="s">
        <v>26</v>
      </c>
      <c r="B32" s="6" t="s">
        <v>76</v>
      </c>
      <c r="C32" s="6" t="s">
        <v>77</v>
      </c>
      <c r="D32" s="6" t="s">
        <v>75</v>
      </c>
      <c r="E32" s="6" t="s">
        <v>13</v>
      </c>
      <c r="F32" s="13">
        <v>18920</v>
      </c>
      <c r="G32" s="5"/>
      <c r="H32" s="12">
        <f t="shared" si="1"/>
        <v>22514.799999999999</v>
      </c>
      <c r="I32" s="12"/>
      <c r="J32" s="12">
        <f t="shared" si="0"/>
        <v>28865.128205128203</v>
      </c>
    </row>
    <row r="33" spans="1:10" ht="34.950000000000003" customHeight="1" x14ac:dyDescent="0.3">
      <c r="A33" s="7" t="s">
        <v>43</v>
      </c>
      <c r="B33" s="7" t="s">
        <v>78</v>
      </c>
      <c r="C33" s="7" t="s">
        <v>79</v>
      </c>
      <c r="D33" s="7" t="s">
        <v>75</v>
      </c>
      <c r="E33" s="7" t="s">
        <v>13</v>
      </c>
      <c r="F33" s="12">
        <v>20720</v>
      </c>
      <c r="G33" s="3"/>
      <c r="H33" s="12">
        <f t="shared" si="1"/>
        <v>24656.799999999999</v>
      </c>
      <c r="I33" s="12"/>
      <c r="J33" s="12">
        <f t="shared" si="0"/>
        <v>31611.282051282051</v>
      </c>
    </row>
    <row r="34" spans="1:10" ht="34.950000000000003" customHeight="1" x14ac:dyDescent="0.3">
      <c r="A34" s="6" t="s">
        <v>52</v>
      </c>
      <c r="B34" s="6" t="s">
        <v>80</v>
      </c>
      <c r="C34" s="6" t="s">
        <v>81</v>
      </c>
      <c r="D34" s="6" t="s">
        <v>75</v>
      </c>
      <c r="E34" s="6" t="s">
        <v>13</v>
      </c>
      <c r="F34" s="13">
        <v>123900</v>
      </c>
      <c r="G34" s="5"/>
      <c r="H34" s="12">
        <f t="shared" si="1"/>
        <v>147441</v>
      </c>
      <c r="I34" s="12"/>
      <c r="J34" s="12">
        <f t="shared" si="0"/>
        <v>189026.92307692306</v>
      </c>
    </row>
    <row r="35" spans="1:10" ht="34.950000000000003" customHeight="1" x14ac:dyDescent="0.3">
      <c r="A35" s="7" t="s">
        <v>52</v>
      </c>
      <c r="B35" s="7" t="s">
        <v>82</v>
      </c>
      <c r="C35" s="7" t="s">
        <v>83</v>
      </c>
      <c r="D35" s="7" t="s">
        <v>75</v>
      </c>
      <c r="E35" s="7" t="s">
        <v>13</v>
      </c>
      <c r="F35" s="12">
        <v>123900</v>
      </c>
      <c r="G35" s="3"/>
      <c r="H35" s="12">
        <f t="shared" si="1"/>
        <v>147441</v>
      </c>
      <c r="I35" s="12"/>
      <c r="J35" s="12">
        <f t="shared" si="0"/>
        <v>189026.92307692306</v>
      </c>
    </row>
    <row r="36" spans="1:10" ht="34.950000000000003" customHeight="1" x14ac:dyDescent="0.3">
      <c r="A36" s="7" t="s">
        <v>26</v>
      </c>
      <c r="B36" s="7" t="s">
        <v>84</v>
      </c>
      <c r="C36" s="7" t="s">
        <v>85</v>
      </c>
      <c r="D36" s="7" t="s">
        <v>86</v>
      </c>
      <c r="E36" s="7" t="s">
        <v>13</v>
      </c>
      <c r="F36" s="12">
        <v>18520</v>
      </c>
      <c r="G36" s="3"/>
      <c r="H36" s="12">
        <f t="shared" si="1"/>
        <v>22038.799999999999</v>
      </c>
      <c r="I36" s="12"/>
      <c r="J36" s="12">
        <f t="shared" si="0"/>
        <v>28254.871794871793</v>
      </c>
    </row>
    <row r="37" spans="1:10" ht="34.950000000000003" customHeight="1" x14ac:dyDescent="0.3">
      <c r="A37" s="6" t="s">
        <v>57</v>
      </c>
      <c r="B37" s="6" t="s">
        <v>87</v>
      </c>
      <c r="C37" s="6" t="s">
        <v>88</v>
      </c>
      <c r="D37" s="6" t="s">
        <v>86</v>
      </c>
      <c r="E37" s="6" t="s">
        <v>13</v>
      </c>
      <c r="F37" s="13">
        <v>19980</v>
      </c>
      <c r="G37" s="5"/>
      <c r="H37" s="12">
        <f t="shared" si="1"/>
        <v>23776.2</v>
      </c>
      <c r="I37" s="12"/>
      <c r="J37" s="12">
        <f t="shared" si="0"/>
        <v>30482.307692307691</v>
      </c>
    </row>
    <row r="38" spans="1:10" ht="34.950000000000003" customHeight="1" x14ac:dyDescent="0.3">
      <c r="A38" s="7" t="s">
        <v>9</v>
      </c>
      <c r="B38" s="7" t="s">
        <v>299</v>
      </c>
      <c r="C38" s="7" t="s">
        <v>304</v>
      </c>
      <c r="D38" s="7" t="s">
        <v>89</v>
      </c>
      <c r="E38" s="7" t="s">
        <v>13</v>
      </c>
      <c r="F38" s="12">
        <v>23100</v>
      </c>
      <c r="G38" s="3"/>
      <c r="H38" s="12">
        <f t="shared" si="1"/>
        <v>27489</v>
      </c>
      <c r="I38" s="12"/>
      <c r="J38" s="12">
        <f t="shared" si="0"/>
        <v>35242.307692307688</v>
      </c>
    </row>
    <row r="39" spans="1:10" ht="34.950000000000003" customHeight="1" x14ac:dyDescent="0.3">
      <c r="A39" s="6" t="s">
        <v>26</v>
      </c>
      <c r="B39" s="6" t="s">
        <v>90</v>
      </c>
      <c r="C39" s="6" t="s">
        <v>91</v>
      </c>
      <c r="D39" s="6" t="s">
        <v>89</v>
      </c>
      <c r="E39" s="6" t="s">
        <v>13</v>
      </c>
      <c r="F39" s="13">
        <v>16680</v>
      </c>
      <c r="G39" s="5"/>
      <c r="H39" s="12">
        <f t="shared" si="1"/>
        <v>19849.2</v>
      </c>
      <c r="I39" s="12"/>
      <c r="J39" s="12">
        <f t="shared" si="0"/>
        <v>25447.692307692309</v>
      </c>
    </row>
    <row r="40" spans="1:10" ht="34.950000000000003" customHeight="1" x14ac:dyDescent="0.3">
      <c r="A40" s="7" t="s">
        <v>26</v>
      </c>
      <c r="B40" s="7" t="s">
        <v>92</v>
      </c>
      <c r="C40" s="7" t="s">
        <v>93</v>
      </c>
      <c r="D40" s="7" t="s">
        <v>89</v>
      </c>
      <c r="E40" s="7" t="s">
        <v>13</v>
      </c>
      <c r="F40" s="12">
        <v>28160</v>
      </c>
      <c r="G40" s="3"/>
      <c r="H40" s="12">
        <f t="shared" si="1"/>
        <v>33510.400000000001</v>
      </c>
      <c r="I40" s="12"/>
      <c r="J40" s="12">
        <f t="shared" si="0"/>
        <v>42962.051282051281</v>
      </c>
    </row>
    <row r="41" spans="1:10" ht="34.950000000000003" customHeight="1" x14ac:dyDescent="0.3">
      <c r="A41" s="6" t="s">
        <v>26</v>
      </c>
      <c r="B41" s="6" t="s">
        <v>94</v>
      </c>
      <c r="C41" s="6" t="s">
        <v>95</v>
      </c>
      <c r="D41" s="6" t="s">
        <v>89</v>
      </c>
      <c r="E41" s="6" t="s">
        <v>13</v>
      </c>
      <c r="F41" s="13">
        <v>28160</v>
      </c>
      <c r="G41" s="5"/>
      <c r="H41" s="12">
        <f t="shared" si="1"/>
        <v>33510.400000000001</v>
      </c>
      <c r="I41" s="12"/>
      <c r="J41" s="12">
        <f t="shared" si="0"/>
        <v>42962.051282051281</v>
      </c>
    </row>
    <row r="42" spans="1:10" ht="34.950000000000003" customHeight="1" x14ac:dyDescent="0.3">
      <c r="A42" s="7" t="s">
        <v>26</v>
      </c>
      <c r="B42" s="7" t="s">
        <v>96</v>
      </c>
      <c r="C42" s="7" t="s">
        <v>97</v>
      </c>
      <c r="D42" s="7" t="s">
        <v>89</v>
      </c>
      <c r="E42" s="7" t="s">
        <v>13</v>
      </c>
      <c r="F42" s="12">
        <v>18390</v>
      </c>
      <c r="G42" s="3"/>
      <c r="H42" s="12">
        <f t="shared" si="1"/>
        <v>21884.1</v>
      </c>
      <c r="I42" s="12"/>
      <c r="J42" s="12">
        <f t="shared" si="0"/>
        <v>28056.538461538457</v>
      </c>
    </row>
    <row r="43" spans="1:10" ht="34.950000000000003" customHeight="1" x14ac:dyDescent="0.3">
      <c r="A43" s="6" t="s">
        <v>26</v>
      </c>
      <c r="B43" s="6" t="s">
        <v>98</v>
      </c>
      <c r="C43" s="6" t="s">
        <v>99</v>
      </c>
      <c r="D43" s="6" t="s">
        <v>89</v>
      </c>
      <c r="E43" s="6" t="s">
        <v>13</v>
      </c>
      <c r="F43" s="13">
        <v>26490</v>
      </c>
      <c r="G43" s="5"/>
      <c r="H43" s="12">
        <f t="shared" si="1"/>
        <v>31523.1</v>
      </c>
      <c r="I43" s="12"/>
      <c r="J43" s="12">
        <f t="shared" si="0"/>
        <v>40414.230769230766</v>
      </c>
    </row>
    <row r="44" spans="1:10" ht="34.950000000000003" customHeight="1" x14ac:dyDescent="0.3">
      <c r="A44" s="7" t="s">
        <v>43</v>
      </c>
      <c r="B44" s="7" t="s">
        <v>100</v>
      </c>
      <c r="C44" s="7" t="s">
        <v>101</v>
      </c>
      <c r="D44" s="7" t="s">
        <v>89</v>
      </c>
      <c r="E44" s="7" t="s">
        <v>13</v>
      </c>
      <c r="F44" s="12">
        <v>20020</v>
      </c>
      <c r="G44" s="3"/>
      <c r="H44" s="12">
        <f t="shared" si="1"/>
        <v>23823.8</v>
      </c>
      <c r="I44" s="12"/>
      <c r="J44" s="12">
        <f t="shared" si="0"/>
        <v>30543.333333333332</v>
      </c>
    </row>
    <row r="45" spans="1:10" ht="34.950000000000003" customHeight="1" x14ac:dyDescent="0.3">
      <c r="A45" s="6" t="s">
        <v>43</v>
      </c>
      <c r="B45" s="6" t="s">
        <v>102</v>
      </c>
      <c r="C45" s="6" t="s">
        <v>103</v>
      </c>
      <c r="D45" s="6" t="s">
        <v>89</v>
      </c>
      <c r="E45" s="6" t="s">
        <v>13</v>
      </c>
      <c r="F45" s="13">
        <v>20020</v>
      </c>
      <c r="G45" s="5"/>
      <c r="H45" s="12">
        <f t="shared" si="1"/>
        <v>23823.8</v>
      </c>
      <c r="I45" s="12"/>
      <c r="J45" s="12">
        <f t="shared" si="0"/>
        <v>30543.333333333332</v>
      </c>
    </row>
    <row r="46" spans="1:10" ht="34.950000000000003" customHeight="1" x14ac:dyDescent="0.3">
      <c r="A46" s="7" t="s">
        <v>43</v>
      </c>
      <c r="B46" s="7" t="s">
        <v>104</v>
      </c>
      <c r="C46" s="7" t="s">
        <v>105</v>
      </c>
      <c r="D46" s="7" t="s">
        <v>89</v>
      </c>
      <c r="E46" s="7" t="s">
        <v>13</v>
      </c>
      <c r="F46" s="12">
        <v>18390</v>
      </c>
      <c r="G46" s="3"/>
      <c r="H46" s="12">
        <f t="shared" si="1"/>
        <v>21884.1</v>
      </c>
      <c r="I46" s="12"/>
      <c r="J46" s="12">
        <f t="shared" si="0"/>
        <v>28056.538461538457</v>
      </c>
    </row>
    <row r="47" spans="1:10" ht="34.950000000000003" customHeight="1" x14ac:dyDescent="0.3">
      <c r="A47" s="6" t="s">
        <v>106</v>
      </c>
      <c r="B47" s="6" t="s">
        <v>107</v>
      </c>
      <c r="C47" s="6" t="s">
        <v>108</v>
      </c>
      <c r="D47" s="6" t="s">
        <v>89</v>
      </c>
      <c r="E47" s="6" t="s">
        <v>13</v>
      </c>
      <c r="F47" s="13">
        <v>117260</v>
      </c>
      <c r="G47" s="5"/>
      <c r="H47" s="12">
        <f t="shared" si="1"/>
        <v>139539.4</v>
      </c>
      <c r="I47" s="12"/>
      <c r="J47" s="12">
        <f t="shared" si="0"/>
        <v>178896.66666666666</v>
      </c>
    </row>
    <row r="48" spans="1:10" ht="34.950000000000003" customHeight="1" x14ac:dyDescent="0.3">
      <c r="A48" s="7" t="s">
        <v>106</v>
      </c>
      <c r="B48" s="7" t="s">
        <v>292</v>
      </c>
      <c r="C48" s="7" t="s">
        <v>109</v>
      </c>
      <c r="D48" s="7" t="s">
        <v>89</v>
      </c>
      <c r="E48" s="7" t="s">
        <v>13</v>
      </c>
      <c r="F48" s="13">
        <v>117260</v>
      </c>
      <c r="G48" s="3"/>
      <c r="H48" s="12">
        <f t="shared" si="1"/>
        <v>139539.4</v>
      </c>
      <c r="I48" s="12"/>
      <c r="J48" s="12">
        <f t="shared" si="0"/>
        <v>178896.66666666666</v>
      </c>
    </row>
    <row r="49" spans="1:10" ht="34.950000000000003" customHeight="1" x14ac:dyDescent="0.3">
      <c r="A49" s="6" t="s">
        <v>57</v>
      </c>
      <c r="B49" s="6" t="s">
        <v>110</v>
      </c>
      <c r="C49" s="6" t="s">
        <v>111</v>
      </c>
      <c r="D49" s="6" t="s">
        <v>89</v>
      </c>
      <c r="E49" s="6" t="s">
        <v>13</v>
      </c>
      <c r="F49" s="13">
        <v>19980</v>
      </c>
      <c r="G49" s="5"/>
      <c r="H49" s="12">
        <f t="shared" si="1"/>
        <v>23776.2</v>
      </c>
      <c r="I49" s="12"/>
      <c r="J49" s="12">
        <f t="shared" si="0"/>
        <v>30482.307692307691</v>
      </c>
    </row>
    <row r="50" spans="1:10" ht="34.950000000000003" customHeight="1" x14ac:dyDescent="0.3">
      <c r="A50" s="7" t="s">
        <v>57</v>
      </c>
      <c r="B50" s="7" t="s">
        <v>112</v>
      </c>
      <c r="C50" s="7" t="s">
        <v>113</v>
      </c>
      <c r="D50" s="7" t="s">
        <v>89</v>
      </c>
      <c r="E50" s="7" t="s">
        <v>13</v>
      </c>
      <c r="F50" s="12">
        <v>63230</v>
      </c>
      <c r="G50" s="3"/>
      <c r="H50" s="12">
        <f t="shared" si="1"/>
        <v>75243.7</v>
      </c>
      <c r="I50" s="12"/>
      <c r="J50" s="12">
        <f t="shared" si="0"/>
        <v>96466.282051282047</v>
      </c>
    </row>
    <row r="51" spans="1:10" ht="34.950000000000003" customHeight="1" x14ac:dyDescent="0.3">
      <c r="A51" s="7" t="s">
        <v>9</v>
      </c>
      <c r="B51" s="7" t="s">
        <v>114</v>
      </c>
      <c r="C51" s="7" t="s">
        <v>115</v>
      </c>
      <c r="D51" s="7" t="s">
        <v>116</v>
      </c>
      <c r="E51" s="7" t="s">
        <v>13</v>
      </c>
      <c r="F51" s="12">
        <v>90640</v>
      </c>
      <c r="G51" s="3"/>
      <c r="H51" s="12">
        <f t="shared" si="1"/>
        <v>107861.59999999999</v>
      </c>
      <c r="I51" s="12"/>
      <c r="J51" s="12">
        <f t="shared" si="0"/>
        <v>138284.10256410256</v>
      </c>
    </row>
    <row r="52" spans="1:10" ht="34.950000000000003" customHeight="1" x14ac:dyDescent="0.3">
      <c r="A52" s="6" t="s">
        <v>9</v>
      </c>
      <c r="B52" s="6" t="s">
        <v>117</v>
      </c>
      <c r="C52" s="6" t="s">
        <v>118</v>
      </c>
      <c r="D52" s="6" t="s">
        <v>116</v>
      </c>
      <c r="E52" s="6" t="s">
        <v>13</v>
      </c>
      <c r="F52" s="13">
        <v>31280</v>
      </c>
      <c r="G52" s="5"/>
      <c r="H52" s="12">
        <f t="shared" si="1"/>
        <v>37223.199999999997</v>
      </c>
      <c r="I52" s="12"/>
      <c r="J52" s="12">
        <f t="shared" si="0"/>
        <v>47722.051282051274</v>
      </c>
    </row>
    <row r="53" spans="1:10" ht="34.950000000000003" customHeight="1" x14ac:dyDescent="0.3">
      <c r="A53" s="7" t="s">
        <v>9</v>
      </c>
      <c r="B53" s="7" t="s">
        <v>119</v>
      </c>
      <c r="C53" s="7" t="s">
        <v>120</v>
      </c>
      <c r="D53" s="7" t="s">
        <v>116</v>
      </c>
      <c r="E53" s="7" t="s">
        <v>13</v>
      </c>
      <c r="F53" s="12">
        <v>28470</v>
      </c>
      <c r="G53" s="3"/>
      <c r="H53" s="12">
        <f t="shared" si="1"/>
        <v>33879.299999999996</v>
      </c>
      <c r="I53" s="12"/>
      <c r="J53" s="12">
        <f t="shared" si="0"/>
        <v>43434.999999999993</v>
      </c>
    </row>
    <row r="54" spans="1:10" ht="34.950000000000003" customHeight="1" x14ac:dyDescent="0.3">
      <c r="A54" s="6" t="s">
        <v>26</v>
      </c>
      <c r="B54" s="6" t="s">
        <v>121</v>
      </c>
      <c r="C54" s="6" t="s">
        <v>122</v>
      </c>
      <c r="D54" s="6" t="s">
        <v>116</v>
      </c>
      <c r="E54" s="6" t="s">
        <v>13</v>
      </c>
      <c r="F54" s="13">
        <v>28470</v>
      </c>
      <c r="G54" s="5"/>
      <c r="H54" s="12">
        <f t="shared" si="1"/>
        <v>33879.299999999996</v>
      </c>
      <c r="I54" s="12"/>
      <c r="J54" s="12">
        <f t="shared" si="0"/>
        <v>43434.999999999993</v>
      </c>
    </row>
    <row r="55" spans="1:10" ht="34.950000000000003" customHeight="1" x14ac:dyDescent="0.3">
      <c r="A55" s="7" t="s">
        <v>57</v>
      </c>
      <c r="B55" s="7" t="s">
        <v>297</v>
      </c>
      <c r="C55" s="7" t="s">
        <v>123</v>
      </c>
      <c r="D55" s="7" t="s">
        <v>116</v>
      </c>
      <c r="E55" s="7" t="s">
        <v>13</v>
      </c>
      <c r="F55" s="12">
        <v>90640</v>
      </c>
      <c r="G55" s="3"/>
      <c r="H55" s="12">
        <f t="shared" si="1"/>
        <v>107861.59999999999</v>
      </c>
      <c r="I55" s="12"/>
      <c r="J55" s="12">
        <f t="shared" si="0"/>
        <v>138284.10256410256</v>
      </c>
    </row>
    <row r="56" spans="1:10" ht="34.950000000000003" customHeight="1" x14ac:dyDescent="0.3">
      <c r="A56" s="7" t="s">
        <v>26</v>
      </c>
      <c r="B56" s="7" t="s">
        <v>124</v>
      </c>
      <c r="C56" s="7" t="s">
        <v>125</v>
      </c>
      <c r="D56" s="7" t="s">
        <v>126</v>
      </c>
      <c r="E56" s="7" t="s">
        <v>13</v>
      </c>
      <c r="F56" s="12">
        <v>22040</v>
      </c>
      <c r="G56" s="3"/>
      <c r="H56" s="12">
        <f t="shared" si="1"/>
        <v>26227.599999999999</v>
      </c>
      <c r="I56" s="12"/>
      <c r="J56" s="12">
        <f t="shared" si="0"/>
        <v>33625.128205128203</v>
      </c>
    </row>
    <row r="57" spans="1:10" ht="34.950000000000003" customHeight="1" x14ac:dyDescent="0.3">
      <c r="A57" s="6" t="s">
        <v>57</v>
      </c>
      <c r="B57" s="6" t="s">
        <v>127</v>
      </c>
      <c r="C57" s="6" t="s">
        <v>128</v>
      </c>
      <c r="D57" s="6" t="s">
        <v>126</v>
      </c>
      <c r="E57" s="6" t="s">
        <v>13</v>
      </c>
      <c r="F57" s="13">
        <v>19840</v>
      </c>
      <c r="G57" s="5"/>
      <c r="H57" s="12">
        <f t="shared" si="1"/>
        <v>23609.599999999999</v>
      </c>
      <c r="I57" s="12"/>
      <c r="J57" s="12">
        <f t="shared" si="0"/>
        <v>30268.717948717946</v>
      </c>
    </row>
    <row r="58" spans="1:10" ht="34.950000000000003" customHeight="1" x14ac:dyDescent="0.3">
      <c r="A58" s="7" t="s">
        <v>9</v>
      </c>
      <c r="B58" s="7" t="s">
        <v>129</v>
      </c>
      <c r="C58" s="7" t="s">
        <v>130</v>
      </c>
      <c r="D58" s="7" t="s">
        <v>131</v>
      </c>
      <c r="E58" s="7" t="s">
        <v>13</v>
      </c>
      <c r="F58" s="12">
        <v>26360</v>
      </c>
      <c r="G58" s="3"/>
      <c r="H58" s="12">
        <f t="shared" si="1"/>
        <v>31368.399999999998</v>
      </c>
      <c r="I58" s="12"/>
      <c r="J58" s="12">
        <f t="shared" si="0"/>
        <v>40215.89743589743</v>
      </c>
    </row>
    <row r="59" spans="1:10" ht="34.950000000000003" customHeight="1" x14ac:dyDescent="0.3">
      <c r="A59" s="6" t="s">
        <v>9</v>
      </c>
      <c r="B59" s="6" t="s">
        <v>132</v>
      </c>
      <c r="C59" s="6" t="s">
        <v>133</v>
      </c>
      <c r="D59" s="6" t="s">
        <v>131</v>
      </c>
      <c r="E59" s="6" t="s">
        <v>13</v>
      </c>
      <c r="F59" s="13">
        <v>35110</v>
      </c>
      <c r="G59" s="5"/>
      <c r="H59" s="12">
        <f t="shared" si="1"/>
        <v>41780.9</v>
      </c>
      <c r="I59" s="12"/>
      <c r="J59" s="12">
        <f t="shared" si="0"/>
        <v>53565.256410256414</v>
      </c>
    </row>
    <row r="60" spans="1:10" ht="34.950000000000003" customHeight="1" x14ac:dyDescent="0.3">
      <c r="A60" s="7" t="s">
        <v>9</v>
      </c>
      <c r="B60" s="7" t="s">
        <v>302</v>
      </c>
      <c r="C60" s="7" t="s">
        <v>301</v>
      </c>
      <c r="D60" s="7" t="s">
        <v>131</v>
      </c>
      <c r="E60" s="7" t="s">
        <v>13</v>
      </c>
      <c r="F60" s="12">
        <v>24990</v>
      </c>
      <c r="G60" s="3"/>
      <c r="H60" s="12">
        <f t="shared" si="1"/>
        <v>29738.1</v>
      </c>
      <c r="I60" s="12"/>
      <c r="J60" s="12">
        <f t="shared" si="0"/>
        <v>38125.769230769227</v>
      </c>
    </row>
    <row r="61" spans="1:10" ht="34.950000000000003" customHeight="1" x14ac:dyDescent="0.3">
      <c r="A61" s="6" t="s">
        <v>26</v>
      </c>
      <c r="B61" s="6" t="s">
        <v>134</v>
      </c>
      <c r="C61" s="6" t="s">
        <v>135</v>
      </c>
      <c r="D61" s="6" t="s">
        <v>131</v>
      </c>
      <c r="E61" s="6" t="s">
        <v>13</v>
      </c>
      <c r="F61" s="13">
        <v>33700</v>
      </c>
      <c r="G61" s="5"/>
      <c r="H61" s="12">
        <f t="shared" si="1"/>
        <v>40103</v>
      </c>
      <c r="I61" s="12"/>
      <c r="J61" s="12">
        <f t="shared" si="0"/>
        <v>51414.102564102563</v>
      </c>
    </row>
    <row r="62" spans="1:10" ht="34.950000000000003" customHeight="1" x14ac:dyDescent="0.3">
      <c r="A62" s="7" t="s">
        <v>43</v>
      </c>
      <c r="B62" s="7" t="s">
        <v>136</v>
      </c>
      <c r="C62" s="7" t="s">
        <v>137</v>
      </c>
      <c r="D62" s="7" t="s">
        <v>131</v>
      </c>
      <c r="E62" s="7" t="s">
        <v>13</v>
      </c>
      <c r="F62" s="12">
        <v>20150</v>
      </c>
      <c r="G62" s="3"/>
      <c r="H62" s="12">
        <f t="shared" si="1"/>
        <v>23978.5</v>
      </c>
      <c r="I62" s="12"/>
      <c r="J62" s="12">
        <f t="shared" si="0"/>
        <v>30741.666666666664</v>
      </c>
    </row>
    <row r="63" spans="1:10" ht="34.950000000000003" customHeight="1" x14ac:dyDescent="0.3">
      <c r="A63" s="6" t="s">
        <v>43</v>
      </c>
      <c r="B63" s="6" t="s">
        <v>138</v>
      </c>
      <c r="C63" s="6" t="s">
        <v>139</v>
      </c>
      <c r="D63" s="6" t="s">
        <v>131</v>
      </c>
      <c r="E63" s="6" t="s">
        <v>13</v>
      </c>
      <c r="F63" s="13">
        <v>21380</v>
      </c>
      <c r="G63" s="5"/>
      <c r="H63" s="12">
        <f t="shared" si="1"/>
        <v>25442.199999999997</v>
      </c>
      <c r="I63" s="12"/>
      <c r="J63" s="12">
        <f t="shared" si="0"/>
        <v>32618.205128205122</v>
      </c>
    </row>
    <row r="64" spans="1:10" ht="34.950000000000003" customHeight="1" x14ac:dyDescent="0.3">
      <c r="A64" s="7" t="s">
        <v>43</v>
      </c>
      <c r="B64" s="7" t="s">
        <v>140</v>
      </c>
      <c r="C64" s="7" t="s">
        <v>141</v>
      </c>
      <c r="D64" s="7" t="s">
        <v>131</v>
      </c>
      <c r="E64" s="7" t="s">
        <v>13</v>
      </c>
      <c r="F64" s="12">
        <v>25430</v>
      </c>
      <c r="G64" s="3"/>
      <c r="H64" s="12">
        <f t="shared" si="1"/>
        <v>30261.699999999997</v>
      </c>
      <c r="I64" s="12"/>
      <c r="J64" s="12">
        <f t="shared" si="0"/>
        <v>38797.051282051274</v>
      </c>
    </row>
    <row r="65" spans="1:10" ht="34.950000000000003" customHeight="1" x14ac:dyDescent="0.3">
      <c r="A65" s="6" t="s">
        <v>52</v>
      </c>
      <c r="B65" s="6" t="s">
        <v>142</v>
      </c>
      <c r="C65" s="6" t="s">
        <v>143</v>
      </c>
      <c r="D65" s="6" t="s">
        <v>131</v>
      </c>
      <c r="E65" s="6" t="s">
        <v>13</v>
      </c>
      <c r="F65" s="13">
        <v>23540</v>
      </c>
      <c r="G65" s="5"/>
      <c r="H65" s="12">
        <f t="shared" si="1"/>
        <v>28012.6</v>
      </c>
      <c r="I65" s="12"/>
      <c r="J65" s="12">
        <f t="shared" si="0"/>
        <v>35913.589743589742</v>
      </c>
    </row>
    <row r="66" spans="1:10" ht="34.950000000000003" customHeight="1" x14ac:dyDescent="0.3">
      <c r="A66" s="7" t="s">
        <v>52</v>
      </c>
      <c r="B66" s="7" t="s">
        <v>144</v>
      </c>
      <c r="C66" s="7" t="s">
        <v>145</v>
      </c>
      <c r="D66" s="7" t="s">
        <v>131</v>
      </c>
      <c r="E66" s="7" t="s">
        <v>13</v>
      </c>
      <c r="F66" s="12">
        <v>23540</v>
      </c>
      <c r="G66" s="3"/>
      <c r="H66" s="12">
        <f t="shared" si="1"/>
        <v>28012.6</v>
      </c>
      <c r="I66" s="12"/>
      <c r="J66" s="12">
        <f t="shared" si="0"/>
        <v>35913.589743589742</v>
      </c>
    </row>
    <row r="67" spans="1:10" ht="34.950000000000003" customHeight="1" x14ac:dyDescent="0.3">
      <c r="A67" s="6" t="s">
        <v>52</v>
      </c>
      <c r="B67" s="6" t="s">
        <v>146</v>
      </c>
      <c r="C67" s="6" t="s">
        <v>293</v>
      </c>
      <c r="D67" s="6" t="s">
        <v>150</v>
      </c>
      <c r="E67" s="6" t="s">
        <v>13</v>
      </c>
      <c r="F67" s="13">
        <v>119330</v>
      </c>
      <c r="G67" s="5"/>
      <c r="H67" s="12">
        <f t="shared" si="1"/>
        <v>142002.69999999998</v>
      </c>
      <c r="I67" s="12"/>
      <c r="J67" s="12">
        <f t="shared" si="0"/>
        <v>182054.74358974356</v>
      </c>
    </row>
    <row r="68" spans="1:10" ht="34.950000000000003" customHeight="1" x14ac:dyDescent="0.3">
      <c r="A68" s="7" t="s">
        <v>9</v>
      </c>
      <c r="B68" s="7" t="s">
        <v>148</v>
      </c>
      <c r="C68" s="7" t="s">
        <v>294</v>
      </c>
      <c r="D68" s="7" t="s">
        <v>150</v>
      </c>
      <c r="E68" s="7" t="s">
        <v>13</v>
      </c>
      <c r="F68" s="12">
        <v>119330</v>
      </c>
      <c r="G68" s="3"/>
      <c r="H68" s="12">
        <f t="shared" si="1"/>
        <v>142002.69999999998</v>
      </c>
      <c r="I68" s="12"/>
      <c r="J68" s="12">
        <f t="shared" si="0"/>
        <v>182054.74358974356</v>
      </c>
    </row>
    <row r="69" spans="1:10" ht="34.950000000000003" customHeight="1" x14ac:dyDescent="0.3">
      <c r="A69" s="7" t="s">
        <v>9</v>
      </c>
      <c r="B69" s="7" t="s">
        <v>151</v>
      </c>
      <c r="C69" s="7" t="s">
        <v>152</v>
      </c>
      <c r="D69" s="7" t="s">
        <v>153</v>
      </c>
      <c r="E69" s="7" t="s">
        <v>13</v>
      </c>
      <c r="F69" s="12">
        <v>24820</v>
      </c>
      <c r="G69" s="3"/>
      <c r="H69" s="12">
        <f t="shared" si="1"/>
        <v>29535.8</v>
      </c>
      <c r="I69" s="12"/>
      <c r="J69" s="12">
        <f t="shared" ref="I69:J127" si="2">H69/0.78</f>
        <v>37866.410256410258</v>
      </c>
    </row>
    <row r="70" spans="1:10" ht="34.950000000000003" customHeight="1" x14ac:dyDescent="0.3">
      <c r="A70" s="6" t="s">
        <v>9</v>
      </c>
      <c r="B70" s="6" t="s">
        <v>303</v>
      </c>
      <c r="C70" s="6" t="s">
        <v>154</v>
      </c>
      <c r="D70" s="6" t="s">
        <v>153</v>
      </c>
      <c r="E70" s="6" t="s">
        <v>13</v>
      </c>
      <c r="F70" s="12">
        <v>38590</v>
      </c>
      <c r="G70" s="5"/>
      <c r="H70" s="12">
        <f t="shared" ref="H70:H111" si="3">F70*1.19</f>
        <v>45922.1</v>
      </c>
      <c r="I70" s="12"/>
      <c r="J70" s="12">
        <f t="shared" si="2"/>
        <v>58874.487179487172</v>
      </c>
    </row>
    <row r="71" spans="1:10" ht="34.950000000000003" customHeight="1" x14ac:dyDescent="0.3">
      <c r="A71" s="7" t="s">
        <v>9</v>
      </c>
      <c r="B71" s="7" t="s">
        <v>155</v>
      </c>
      <c r="C71" s="7" t="s">
        <v>156</v>
      </c>
      <c r="D71" s="7" t="s">
        <v>153</v>
      </c>
      <c r="E71" s="7" t="s">
        <v>13</v>
      </c>
      <c r="F71" s="12">
        <v>35680</v>
      </c>
      <c r="G71" s="3"/>
      <c r="H71" s="12">
        <f t="shared" si="3"/>
        <v>42459.199999999997</v>
      </c>
      <c r="I71" s="12"/>
      <c r="J71" s="12">
        <f t="shared" si="2"/>
        <v>54434.871794871789</v>
      </c>
    </row>
    <row r="72" spans="1:10" ht="34.950000000000003" customHeight="1" x14ac:dyDescent="0.3">
      <c r="A72" s="6" t="s">
        <v>26</v>
      </c>
      <c r="B72" s="6" t="s">
        <v>157</v>
      </c>
      <c r="C72" s="6" t="s">
        <v>158</v>
      </c>
      <c r="D72" s="6" t="s">
        <v>153</v>
      </c>
      <c r="E72" s="6" t="s">
        <v>13</v>
      </c>
      <c r="F72" s="13">
        <v>34800</v>
      </c>
      <c r="G72" s="5"/>
      <c r="H72" s="12">
        <f t="shared" si="3"/>
        <v>41412</v>
      </c>
      <c r="I72" s="12"/>
      <c r="J72" s="12">
        <f t="shared" si="2"/>
        <v>53092.307692307688</v>
      </c>
    </row>
    <row r="73" spans="1:10" ht="34.950000000000003" customHeight="1" x14ac:dyDescent="0.3">
      <c r="A73" s="7" t="s">
        <v>43</v>
      </c>
      <c r="B73" s="7" t="s">
        <v>159</v>
      </c>
      <c r="C73" s="7" t="s">
        <v>160</v>
      </c>
      <c r="D73" s="7" t="s">
        <v>153</v>
      </c>
      <c r="E73" s="7" t="s">
        <v>13</v>
      </c>
      <c r="F73" s="12">
        <v>20720</v>
      </c>
      <c r="G73" s="3"/>
      <c r="H73" s="12">
        <f t="shared" si="3"/>
        <v>24656.799999999999</v>
      </c>
      <c r="I73" s="12"/>
      <c r="J73" s="12">
        <f t="shared" si="2"/>
        <v>31611.282051282051</v>
      </c>
    </row>
    <row r="74" spans="1:10" ht="34.950000000000003" customHeight="1" x14ac:dyDescent="0.3">
      <c r="A74" s="7" t="s">
        <v>43</v>
      </c>
      <c r="B74" s="7" t="s">
        <v>161</v>
      </c>
      <c r="C74" s="7" t="s">
        <v>162</v>
      </c>
      <c r="D74" s="7" t="s">
        <v>163</v>
      </c>
      <c r="E74" s="7" t="s">
        <v>13</v>
      </c>
      <c r="F74" s="12">
        <v>27020</v>
      </c>
      <c r="G74" s="3"/>
      <c r="H74" s="12">
        <f t="shared" si="3"/>
        <v>32153.8</v>
      </c>
      <c r="I74" s="12"/>
      <c r="J74" s="12">
        <f t="shared" si="2"/>
        <v>41222.820512820508</v>
      </c>
    </row>
    <row r="75" spans="1:10" ht="34.950000000000003" customHeight="1" x14ac:dyDescent="0.3">
      <c r="A75" s="7" t="s">
        <v>9</v>
      </c>
      <c r="B75" s="7" t="s">
        <v>164</v>
      </c>
      <c r="C75" s="7" t="s">
        <v>165</v>
      </c>
      <c r="D75" s="7" t="s">
        <v>166</v>
      </c>
      <c r="E75" s="7" t="s">
        <v>13</v>
      </c>
      <c r="F75" s="12">
        <v>26220</v>
      </c>
      <c r="G75" s="3"/>
      <c r="H75" s="12">
        <f t="shared" si="3"/>
        <v>31201.8</v>
      </c>
      <c r="I75" s="12"/>
      <c r="J75" s="12">
        <f t="shared" si="2"/>
        <v>40002.307692307688</v>
      </c>
    </row>
    <row r="76" spans="1:10" ht="34.950000000000003" customHeight="1" x14ac:dyDescent="0.3">
      <c r="A76" s="6" t="s">
        <v>9</v>
      </c>
      <c r="B76" s="6" t="s">
        <v>167</v>
      </c>
      <c r="C76" s="6" t="s">
        <v>168</v>
      </c>
      <c r="D76" s="6" t="s">
        <v>166</v>
      </c>
      <c r="E76" s="6" t="s">
        <v>13</v>
      </c>
      <c r="F76" s="13">
        <v>38630</v>
      </c>
      <c r="G76" s="5"/>
      <c r="H76" s="12">
        <f t="shared" si="3"/>
        <v>45969.7</v>
      </c>
      <c r="I76" s="12"/>
      <c r="J76" s="12">
        <f t="shared" si="2"/>
        <v>58935.512820512813</v>
      </c>
    </row>
    <row r="77" spans="1:10" ht="34.950000000000003" customHeight="1" x14ac:dyDescent="0.3">
      <c r="A77" s="7" t="s">
        <v>9</v>
      </c>
      <c r="B77" s="7" t="s">
        <v>169</v>
      </c>
      <c r="C77" s="7" t="s">
        <v>170</v>
      </c>
      <c r="D77" s="7" t="s">
        <v>166</v>
      </c>
      <c r="E77" s="7" t="s">
        <v>13</v>
      </c>
      <c r="F77" s="12">
        <v>28950</v>
      </c>
      <c r="G77" s="3"/>
      <c r="H77" s="12">
        <f t="shared" si="3"/>
        <v>34450.5</v>
      </c>
      <c r="I77" s="12"/>
      <c r="J77" s="12">
        <f t="shared" si="2"/>
        <v>44167.307692307688</v>
      </c>
    </row>
    <row r="78" spans="1:10" ht="34.950000000000003" customHeight="1" x14ac:dyDescent="0.3">
      <c r="A78" s="6" t="s">
        <v>9</v>
      </c>
      <c r="B78" s="6" t="s">
        <v>171</v>
      </c>
      <c r="C78" s="6" t="s">
        <v>172</v>
      </c>
      <c r="D78" s="6" t="s">
        <v>166</v>
      </c>
      <c r="E78" s="6" t="s">
        <v>13</v>
      </c>
      <c r="F78" s="13">
        <v>28950</v>
      </c>
      <c r="G78" s="5"/>
      <c r="H78" s="12">
        <f t="shared" si="3"/>
        <v>34450.5</v>
      </c>
      <c r="I78" s="12"/>
      <c r="J78" s="12">
        <f t="shared" si="2"/>
        <v>44167.307692307688</v>
      </c>
    </row>
    <row r="79" spans="1:10" ht="34.950000000000003" customHeight="1" x14ac:dyDescent="0.3">
      <c r="A79" s="7" t="s">
        <v>9</v>
      </c>
      <c r="B79" s="7" t="s">
        <v>173</v>
      </c>
      <c r="C79" s="7" t="s">
        <v>295</v>
      </c>
      <c r="D79" s="7" t="s">
        <v>175</v>
      </c>
      <c r="E79" s="7" t="s">
        <v>13</v>
      </c>
      <c r="F79" s="12">
        <v>129320</v>
      </c>
      <c r="G79" s="3"/>
      <c r="H79" s="12">
        <f t="shared" si="3"/>
        <v>153890.79999999999</v>
      </c>
      <c r="I79" s="12"/>
      <c r="J79" s="12">
        <f t="shared" si="2"/>
        <v>197295.89743589741</v>
      </c>
    </row>
    <row r="80" spans="1:10" ht="34.950000000000003" customHeight="1" x14ac:dyDescent="0.3">
      <c r="A80" s="6" t="s">
        <v>9</v>
      </c>
      <c r="B80" s="6" t="s">
        <v>176</v>
      </c>
      <c r="C80" s="6" t="s">
        <v>177</v>
      </c>
      <c r="D80" s="6" t="s">
        <v>175</v>
      </c>
      <c r="E80" s="6" t="s">
        <v>13</v>
      </c>
      <c r="F80" s="13">
        <v>18570</v>
      </c>
      <c r="G80" s="5"/>
      <c r="H80" s="12">
        <f t="shared" si="3"/>
        <v>22098.3</v>
      </c>
      <c r="I80" s="12"/>
      <c r="J80" s="12">
        <f t="shared" si="2"/>
        <v>28331.153846153844</v>
      </c>
    </row>
    <row r="81" spans="1:10" ht="34.950000000000003" customHeight="1" x14ac:dyDescent="0.3">
      <c r="A81" s="7" t="s">
        <v>9</v>
      </c>
      <c r="B81" s="7" t="s">
        <v>178</v>
      </c>
      <c r="C81" s="7" t="s">
        <v>179</v>
      </c>
      <c r="D81" s="7" t="s">
        <v>175</v>
      </c>
      <c r="E81" s="7" t="s">
        <v>13</v>
      </c>
      <c r="F81" s="12">
        <v>23010</v>
      </c>
      <c r="G81" s="3"/>
      <c r="H81" s="12">
        <f t="shared" si="3"/>
        <v>27381.899999999998</v>
      </c>
      <c r="I81" s="12"/>
      <c r="J81" s="12">
        <f t="shared" si="2"/>
        <v>35104.999999999993</v>
      </c>
    </row>
    <row r="82" spans="1:10" ht="34.950000000000003" customHeight="1" x14ac:dyDescent="0.3">
      <c r="A82" s="6" t="s">
        <v>9</v>
      </c>
      <c r="B82" s="6" t="s">
        <v>180</v>
      </c>
      <c r="C82" s="6" t="s">
        <v>181</v>
      </c>
      <c r="D82" s="6" t="s">
        <v>175</v>
      </c>
      <c r="E82" s="6" t="s">
        <v>13</v>
      </c>
      <c r="F82" s="13">
        <v>27630</v>
      </c>
      <c r="G82" s="5"/>
      <c r="H82" s="12">
        <f t="shared" si="3"/>
        <v>32879.699999999997</v>
      </c>
      <c r="I82" s="12"/>
      <c r="J82" s="12">
        <f t="shared" si="2"/>
        <v>42153.461538461532</v>
      </c>
    </row>
    <row r="83" spans="1:10" ht="34.950000000000003" customHeight="1" x14ac:dyDescent="0.3">
      <c r="A83" s="7" t="s">
        <v>9</v>
      </c>
      <c r="B83" s="7" t="s">
        <v>182</v>
      </c>
      <c r="C83" s="7" t="s">
        <v>183</v>
      </c>
      <c r="D83" s="7" t="s">
        <v>175</v>
      </c>
      <c r="E83" s="7" t="s">
        <v>13</v>
      </c>
      <c r="F83" s="12">
        <v>21870</v>
      </c>
      <c r="G83" s="3"/>
      <c r="H83" s="12">
        <f t="shared" si="3"/>
        <v>26025.3</v>
      </c>
      <c r="I83" s="12"/>
      <c r="J83" s="12">
        <f t="shared" si="2"/>
        <v>33365.769230769227</v>
      </c>
    </row>
    <row r="84" spans="1:10" ht="34.950000000000003" customHeight="1" x14ac:dyDescent="0.3">
      <c r="A84" s="6" t="s">
        <v>9</v>
      </c>
      <c r="B84" s="6" t="s">
        <v>184</v>
      </c>
      <c r="C84" s="6" t="s">
        <v>185</v>
      </c>
      <c r="D84" s="6" t="s">
        <v>175</v>
      </c>
      <c r="E84" s="6" t="s">
        <v>13</v>
      </c>
      <c r="F84" s="13">
        <v>36040</v>
      </c>
      <c r="G84" s="5"/>
      <c r="H84" s="12">
        <f t="shared" si="3"/>
        <v>42887.6</v>
      </c>
      <c r="I84" s="12"/>
      <c r="J84" s="12">
        <f t="shared" si="2"/>
        <v>54984.102564102563</v>
      </c>
    </row>
    <row r="85" spans="1:10" ht="34.950000000000003" customHeight="1" x14ac:dyDescent="0.3">
      <c r="A85" s="7" t="s">
        <v>9</v>
      </c>
      <c r="B85" s="7" t="s">
        <v>186</v>
      </c>
      <c r="C85" s="7" t="s">
        <v>187</v>
      </c>
      <c r="D85" s="7" t="s">
        <v>175</v>
      </c>
      <c r="E85" s="7" t="s">
        <v>13</v>
      </c>
      <c r="F85" s="12">
        <v>36040</v>
      </c>
      <c r="G85" s="3"/>
      <c r="H85" s="12">
        <f t="shared" si="3"/>
        <v>42887.6</v>
      </c>
      <c r="I85" s="12"/>
      <c r="J85" s="12">
        <f t="shared" si="2"/>
        <v>54984.102564102563</v>
      </c>
    </row>
    <row r="86" spans="1:10" ht="34.950000000000003" customHeight="1" x14ac:dyDescent="0.3">
      <c r="A86" s="6" t="s">
        <v>26</v>
      </c>
      <c r="B86" s="6" t="s">
        <v>188</v>
      </c>
      <c r="C86" s="6" t="s">
        <v>189</v>
      </c>
      <c r="D86" s="6" t="s">
        <v>175</v>
      </c>
      <c r="E86" s="6" t="s">
        <v>13</v>
      </c>
      <c r="F86" s="13">
        <v>34630</v>
      </c>
      <c r="G86" s="5"/>
      <c r="H86" s="12">
        <f t="shared" si="3"/>
        <v>41209.699999999997</v>
      </c>
      <c r="I86" s="12"/>
      <c r="J86" s="12">
        <f t="shared" si="2"/>
        <v>52832.948717948711</v>
      </c>
    </row>
    <row r="87" spans="1:10" ht="34.950000000000003" customHeight="1" x14ac:dyDescent="0.3">
      <c r="A87" s="7" t="s">
        <v>26</v>
      </c>
      <c r="B87" s="7" t="s">
        <v>190</v>
      </c>
      <c r="C87" s="7" t="s">
        <v>191</v>
      </c>
      <c r="D87" s="7" t="s">
        <v>175</v>
      </c>
      <c r="E87" s="7" t="s">
        <v>13</v>
      </c>
      <c r="F87" s="12">
        <v>27100</v>
      </c>
      <c r="G87" s="3"/>
      <c r="H87" s="12">
        <f t="shared" si="3"/>
        <v>32249</v>
      </c>
      <c r="I87" s="12"/>
      <c r="J87" s="12">
        <f t="shared" si="2"/>
        <v>41344.871794871797</v>
      </c>
    </row>
    <row r="88" spans="1:10" ht="34.950000000000003" customHeight="1" x14ac:dyDescent="0.3">
      <c r="A88" s="6" t="s">
        <v>26</v>
      </c>
      <c r="B88" s="6" t="s">
        <v>192</v>
      </c>
      <c r="C88" s="6" t="s">
        <v>193</v>
      </c>
      <c r="D88" s="6" t="s">
        <v>175</v>
      </c>
      <c r="E88" s="6" t="s">
        <v>13</v>
      </c>
      <c r="F88" s="13">
        <v>37360</v>
      </c>
      <c r="G88" s="5"/>
      <c r="H88" s="12">
        <f t="shared" si="3"/>
        <v>44458.400000000001</v>
      </c>
      <c r="I88" s="12"/>
      <c r="J88" s="12">
        <f t="shared" si="2"/>
        <v>56997.948717948719</v>
      </c>
    </row>
    <row r="89" spans="1:10" ht="34.950000000000003" customHeight="1" x14ac:dyDescent="0.3">
      <c r="A89" s="7" t="s">
        <v>26</v>
      </c>
      <c r="B89" s="7" t="s">
        <v>194</v>
      </c>
      <c r="C89" s="7" t="s">
        <v>195</v>
      </c>
      <c r="D89" s="7" t="s">
        <v>175</v>
      </c>
      <c r="E89" s="7" t="s">
        <v>13</v>
      </c>
      <c r="F89" s="12">
        <v>26270</v>
      </c>
      <c r="G89" s="3"/>
      <c r="H89" s="12">
        <f t="shared" si="3"/>
        <v>31261.3</v>
      </c>
      <c r="I89" s="12"/>
      <c r="J89" s="12">
        <f t="shared" si="2"/>
        <v>40078.589743589742</v>
      </c>
    </row>
    <row r="90" spans="1:10" ht="34.950000000000003" customHeight="1" x14ac:dyDescent="0.3">
      <c r="A90" s="6" t="s">
        <v>26</v>
      </c>
      <c r="B90" s="6" t="s">
        <v>196</v>
      </c>
      <c r="C90" s="6" t="s">
        <v>197</v>
      </c>
      <c r="D90" s="6" t="s">
        <v>175</v>
      </c>
      <c r="E90" s="6" t="s">
        <v>13</v>
      </c>
      <c r="F90" s="13">
        <v>37360</v>
      </c>
      <c r="G90" s="5"/>
      <c r="H90" s="12">
        <f t="shared" si="3"/>
        <v>44458.400000000001</v>
      </c>
      <c r="I90" s="12"/>
      <c r="J90" s="12">
        <f t="shared" si="2"/>
        <v>56997.948717948719</v>
      </c>
    </row>
    <row r="91" spans="1:10" ht="34.950000000000003" customHeight="1" x14ac:dyDescent="0.3">
      <c r="A91" s="7" t="s">
        <v>26</v>
      </c>
      <c r="B91" s="7" t="s">
        <v>198</v>
      </c>
      <c r="C91" s="7" t="s">
        <v>199</v>
      </c>
      <c r="D91" s="7" t="s">
        <v>175</v>
      </c>
      <c r="E91" s="7" t="s">
        <v>13</v>
      </c>
      <c r="F91" s="12">
        <v>22220</v>
      </c>
      <c r="G91" s="3"/>
      <c r="H91" s="12">
        <f t="shared" si="3"/>
        <v>26441.8</v>
      </c>
      <c r="I91" s="12"/>
      <c r="J91" s="12">
        <f t="shared" si="2"/>
        <v>33899.743589743586</v>
      </c>
    </row>
    <row r="92" spans="1:10" ht="34.950000000000003" customHeight="1" x14ac:dyDescent="0.3">
      <c r="A92" s="6" t="s">
        <v>26</v>
      </c>
      <c r="B92" s="6" t="s">
        <v>200</v>
      </c>
      <c r="C92" s="6" t="s">
        <v>201</v>
      </c>
      <c r="D92" s="6" t="s">
        <v>175</v>
      </c>
      <c r="E92" s="6" t="s">
        <v>13</v>
      </c>
      <c r="F92" s="13">
        <v>26270</v>
      </c>
      <c r="G92" s="5"/>
      <c r="H92" s="12">
        <f t="shared" si="3"/>
        <v>31261.3</v>
      </c>
      <c r="I92" s="12"/>
      <c r="J92" s="12">
        <f t="shared" si="2"/>
        <v>40078.589743589742</v>
      </c>
    </row>
    <row r="93" spans="1:10" ht="34.950000000000003" customHeight="1" x14ac:dyDescent="0.3">
      <c r="A93" s="7" t="s">
        <v>43</v>
      </c>
      <c r="B93" s="7" t="s">
        <v>202</v>
      </c>
      <c r="C93" s="7" t="s">
        <v>203</v>
      </c>
      <c r="D93" s="7" t="s">
        <v>175</v>
      </c>
      <c r="E93" s="7" t="s">
        <v>13</v>
      </c>
      <c r="F93" s="12">
        <v>22220</v>
      </c>
      <c r="G93" s="3"/>
      <c r="H93" s="12">
        <f t="shared" si="3"/>
        <v>26441.8</v>
      </c>
      <c r="I93" s="12"/>
      <c r="J93" s="12">
        <f t="shared" si="2"/>
        <v>33899.743589743586</v>
      </c>
    </row>
    <row r="94" spans="1:10" ht="34.950000000000003" customHeight="1" x14ac:dyDescent="0.3">
      <c r="A94" s="6" t="s">
        <v>43</v>
      </c>
      <c r="B94" s="6" t="s">
        <v>204</v>
      </c>
      <c r="C94" s="6" t="s">
        <v>205</v>
      </c>
      <c r="D94" s="6" t="s">
        <v>175</v>
      </c>
      <c r="E94" s="6" t="s">
        <v>13</v>
      </c>
      <c r="F94" s="13">
        <v>23540</v>
      </c>
      <c r="G94" s="5"/>
      <c r="H94" s="12">
        <f t="shared" si="3"/>
        <v>28012.6</v>
      </c>
      <c r="I94" s="12"/>
      <c r="J94" s="12">
        <f t="shared" si="2"/>
        <v>35913.589743589742</v>
      </c>
    </row>
    <row r="95" spans="1:10" ht="34.950000000000003" customHeight="1" x14ac:dyDescent="0.3">
      <c r="A95" s="7" t="s">
        <v>43</v>
      </c>
      <c r="B95" s="7" t="s">
        <v>206</v>
      </c>
      <c r="C95" s="7" t="s">
        <v>207</v>
      </c>
      <c r="D95" s="7" t="s">
        <v>175</v>
      </c>
      <c r="E95" s="7" t="s">
        <v>13</v>
      </c>
      <c r="F95" s="12">
        <v>20110</v>
      </c>
      <c r="G95" s="3"/>
      <c r="H95" s="12">
        <f t="shared" si="3"/>
        <v>23930.899999999998</v>
      </c>
      <c r="I95" s="12"/>
      <c r="J95" s="12">
        <f t="shared" si="2"/>
        <v>30680.641025641024</v>
      </c>
    </row>
    <row r="96" spans="1:10" ht="34.950000000000003" customHeight="1" x14ac:dyDescent="0.3">
      <c r="A96" s="6" t="s">
        <v>43</v>
      </c>
      <c r="B96" s="6" t="s">
        <v>208</v>
      </c>
      <c r="C96" s="6" t="s">
        <v>209</v>
      </c>
      <c r="D96" s="6" t="s">
        <v>175</v>
      </c>
      <c r="E96" s="6" t="s">
        <v>13</v>
      </c>
      <c r="F96" s="13">
        <v>27100</v>
      </c>
      <c r="G96" s="5"/>
      <c r="H96" s="12">
        <f t="shared" si="3"/>
        <v>32249</v>
      </c>
      <c r="I96" s="12"/>
      <c r="J96" s="12">
        <f t="shared" si="2"/>
        <v>41344.871794871797</v>
      </c>
    </row>
    <row r="97" spans="1:10" ht="34.950000000000003" customHeight="1" x14ac:dyDescent="0.3">
      <c r="A97" s="7" t="s">
        <v>43</v>
      </c>
      <c r="B97" s="7" t="s">
        <v>210</v>
      </c>
      <c r="C97" s="7" t="s">
        <v>211</v>
      </c>
      <c r="D97" s="7" t="s">
        <v>175</v>
      </c>
      <c r="E97" s="7" t="s">
        <v>13</v>
      </c>
      <c r="F97" s="12">
        <v>23320</v>
      </c>
      <c r="G97" s="3"/>
      <c r="H97" s="12">
        <f t="shared" si="3"/>
        <v>27750.799999999999</v>
      </c>
      <c r="I97" s="12"/>
      <c r="J97" s="12">
        <f t="shared" si="2"/>
        <v>35577.948717948719</v>
      </c>
    </row>
    <row r="98" spans="1:10" ht="34.950000000000003" customHeight="1" x14ac:dyDescent="0.3">
      <c r="A98" s="6" t="s">
        <v>43</v>
      </c>
      <c r="B98" s="6" t="s">
        <v>212</v>
      </c>
      <c r="C98" s="6" t="s">
        <v>213</v>
      </c>
      <c r="D98" s="6" t="s">
        <v>175</v>
      </c>
      <c r="E98" s="6" t="s">
        <v>13</v>
      </c>
      <c r="F98" s="13">
        <v>23940</v>
      </c>
      <c r="G98" s="5"/>
      <c r="H98" s="12">
        <f t="shared" si="3"/>
        <v>28488.6</v>
      </c>
      <c r="I98" s="12"/>
      <c r="J98" s="12">
        <f t="shared" si="2"/>
        <v>36523.846153846149</v>
      </c>
    </row>
    <row r="99" spans="1:10" ht="34.950000000000003" customHeight="1" x14ac:dyDescent="0.3">
      <c r="A99" s="7" t="s">
        <v>106</v>
      </c>
      <c r="B99" s="7" t="s">
        <v>214</v>
      </c>
      <c r="C99" s="7" t="s">
        <v>296</v>
      </c>
      <c r="D99" s="7" t="s">
        <v>175</v>
      </c>
      <c r="E99" s="7" t="s">
        <v>13</v>
      </c>
      <c r="F99" s="12">
        <v>105120</v>
      </c>
      <c r="G99" s="3"/>
      <c r="H99" s="12">
        <f t="shared" si="3"/>
        <v>125092.79999999999</v>
      </c>
      <c r="I99" s="12"/>
      <c r="J99" s="12">
        <f t="shared" si="2"/>
        <v>160375.3846153846</v>
      </c>
    </row>
    <row r="100" spans="1:10" ht="34.950000000000003" customHeight="1" x14ac:dyDescent="0.3">
      <c r="A100" s="6" t="s">
        <v>52</v>
      </c>
      <c r="B100" s="6" t="s">
        <v>216</v>
      </c>
      <c r="C100" s="6" t="s">
        <v>217</v>
      </c>
      <c r="D100" s="6" t="s">
        <v>175</v>
      </c>
      <c r="E100" s="6" t="s">
        <v>13</v>
      </c>
      <c r="F100" s="13">
        <v>20810</v>
      </c>
      <c r="G100" s="5"/>
      <c r="H100" s="12">
        <f t="shared" si="3"/>
        <v>24763.899999999998</v>
      </c>
      <c r="I100" s="12"/>
      <c r="J100" s="12">
        <f t="shared" si="2"/>
        <v>31748.589743589739</v>
      </c>
    </row>
    <row r="101" spans="1:10" ht="34.950000000000003" customHeight="1" x14ac:dyDescent="0.3">
      <c r="A101" s="7" t="s">
        <v>52</v>
      </c>
      <c r="B101" s="7" t="s">
        <v>218</v>
      </c>
      <c r="C101" s="7" t="s">
        <v>219</v>
      </c>
      <c r="D101" s="7" t="s">
        <v>175</v>
      </c>
      <c r="E101" s="7" t="s">
        <v>13</v>
      </c>
      <c r="F101" s="12">
        <v>20810</v>
      </c>
      <c r="G101" s="3"/>
      <c r="H101" s="12">
        <f t="shared" si="3"/>
        <v>24763.899999999998</v>
      </c>
      <c r="I101" s="12"/>
      <c r="J101" s="12">
        <f t="shared" si="2"/>
        <v>31748.589743589739</v>
      </c>
    </row>
    <row r="102" spans="1:10" ht="34.950000000000003" customHeight="1" x14ac:dyDescent="0.3">
      <c r="A102" s="6" t="s">
        <v>52</v>
      </c>
      <c r="B102" s="6" t="s">
        <v>220</v>
      </c>
      <c r="C102" s="6" t="s">
        <v>221</v>
      </c>
      <c r="D102" s="6" t="s">
        <v>175</v>
      </c>
      <c r="E102" s="6" t="s">
        <v>13</v>
      </c>
      <c r="F102" s="13">
        <v>108060</v>
      </c>
      <c r="G102" s="5"/>
      <c r="H102" s="12">
        <f t="shared" si="3"/>
        <v>128591.4</v>
      </c>
      <c r="I102" s="12"/>
      <c r="J102" s="12">
        <f t="shared" si="2"/>
        <v>164860.76923076922</v>
      </c>
    </row>
    <row r="103" spans="1:10" ht="34.950000000000003" customHeight="1" x14ac:dyDescent="0.3">
      <c r="A103" s="7" t="s">
        <v>57</v>
      </c>
      <c r="B103" s="7" t="s">
        <v>222</v>
      </c>
      <c r="C103" s="7" t="s">
        <v>223</v>
      </c>
      <c r="D103" s="7" t="s">
        <v>175</v>
      </c>
      <c r="E103" s="7" t="s">
        <v>13</v>
      </c>
      <c r="F103" s="12">
        <v>64150</v>
      </c>
      <c r="G103" s="3"/>
      <c r="H103" s="12">
        <f t="shared" si="3"/>
        <v>76338.5</v>
      </c>
      <c r="I103" s="12"/>
      <c r="J103" s="12">
        <f t="shared" si="2"/>
        <v>97869.871794871797</v>
      </c>
    </row>
    <row r="104" spans="1:10" ht="34.950000000000003" customHeight="1" x14ac:dyDescent="0.3">
      <c r="A104" s="7" t="s">
        <v>26</v>
      </c>
      <c r="B104" s="7" t="s">
        <v>224</v>
      </c>
      <c r="C104" s="7" t="s">
        <v>225</v>
      </c>
      <c r="D104" s="7" t="s">
        <v>226</v>
      </c>
      <c r="E104" s="7" t="s">
        <v>13</v>
      </c>
      <c r="F104" s="12">
        <v>25650</v>
      </c>
      <c r="G104" s="3"/>
      <c r="H104" s="12">
        <f t="shared" si="3"/>
        <v>30523.5</v>
      </c>
      <c r="I104" s="12"/>
      <c r="J104" s="12">
        <f t="shared" si="2"/>
        <v>39132.692307692305</v>
      </c>
    </row>
    <row r="105" spans="1:10" ht="34.950000000000003" customHeight="1" x14ac:dyDescent="0.3">
      <c r="A105" s="7" t="s">
        <v>9</v>
      </c>
      <c r="B105" s="7" t="s">
        <v>227</v>
      </c>
      <c r="C105" s="7" t="s">
        <v>228</v>
      </c>
      <c r="D105" s="7" t="s">
        <v>229</v>
      </c>
      <c r="E105" s="7" t="s">
        <v>13</v>
      </c>
      <c r="F105" s="12">
        <v>24070</v>
      </c>
      <c r="G105" s="3"/>
      <c r="H105" s="12">
        <f t="shared" si="3"/>
        <v>28643.3</v>
      </c>
      <c r="I105" s="12"/>
      <c r="J105" s="12">
        <f t="shared" si="2"/>
        <v>36722.179487179485</v>
      </c>
    </row>
    <row r="106" spans="1:10" ht="34.950000000000003" customHeight="1" x14ac:dyDescent="0.3">
      <c r="A106" s="6" t="s">
        <v>26</v>
      </c>
      <c r="B106" s="6" t="s">
        <v>230</v>
      </c>
      <c r="C106" s="6" t="s">
        <v>231</v>
      </c>
      <c r="D106" s="6" t="s">
        <v>229</v>
      </c>
      <c r="E106" s="6" t="s">
        <v>13</v>
      </c>
      <c r="F106" s="13">
        <v>24070</v>
      </c>
      <c r="G106" s="5"/>
      <c r="H106" s="12">
        <f t="shared" si="3"/>
        <v>28643.3</v>
      </c>
      <c r="I106" s="12"/>
      <c r="J106" s="12">
        <f t="shared" si="2"/>
        <v>36722.179487179485</v>
      </c>
    </row>
    <row r="107" spans="1:10" ht="34.950000000000003" customHeight="1" x14ac:dyDescent="0.3">
      <c r="A107" s="7" t="s">
        <v>43</v>
      </c>
      <c r="B107" s="7" t="s">
        <v>232</v>
      </c>
      <c r="C107" s="7" t="s">
        <v>233</v>
      </c>
      <c r="D107" s="7" t="s">
        <v>229</v>
      </c>
      <c r="E107" s="7" t="s">
        <v>13</v>
      </c>
      <c r="F107" s="12">
        <v>27020</v>
      </c>
      <c r="G107" s="3"/>
      <c r="H107" s="12">
        <f t="shared" si="3"/>
        <v>32153.8</v>
      </c>
      <c r="I107" s="12"/>
      <c r="J107" s="12">
        <f t="shared" si="2"/>
        <v>41222.820512820508</v>
      </c>
    </row>
    <row r="108" spans="1:10" ht="34.950000000000003" customHeight="1" x14ac:dyDescent="0.3">
      <c r="A108" s="7" t="s">
        <v>9</v>
      </c>
      <c r="B108" s="7" t="s">
        <v>234</v>
      </c>
      <c r="C108" s="7" t="s">
        <v>235</v>
      </c>
      <c r="D108" s="7" t="s">
        <v>236</v>
      </c>
      <c r="E108" s="7" t="s">
        <v>13</v>
      </c>
      <c r="F108" s="12">
        <v>28950</v>
      </c>
      <c r="G108" s="3"/>
      <c r="H108" s="12">
        <f t="shared" si="3"/>
        <v>34450.5</v>
      </c>
      <c r="I108" s="12"/>
      <c r="J108" s="12">
        <f t="shared" si="2"/>
        <v>44167.307692307688</v>
      </c>
    </row>
    <row r="109" spans="1:10" ht="34.950000000000003" customHeight="1" x14ac:dyDescent="0.3">
      <c r="A109" s="6" t="s">
        <v>9</v>
      </c>
      <c r="B109" s="6" t="s">
        <v>237</v>
      </c>
      <c r="C109" s="6" t="s">
        <v>238</v>
      </c>
      <c r="D109" s="6" t="s">
        <v>236</v>
      </c>
      <c r="E109" s="6" t="s">
        <v>13</v>
      </c>
      <c r="F109" s="13">
        <v>27150</v>
      </c>
      <c r="G109" s="5"/>
      <c r="H109" s="12">
        <f t="shared" si="3"/>
        <v>32308.5</v>
      </c>
      <c r="I109" s="12"/>
      <c r="J109" s="12">
        <f t="shared" si="2"/>
        <v>41421.153846153844</v>
      </c>
    </row>
    <row r="110" spans="1:10" ht="34.950000000000003" customHeight="1" x14ac:dyDescent="0.3">
      <c r="A110" s="7" t="s">
        <v>43</v>
      </c>
      <c r="B110" s="7" t="s">
        <v>239</v>
      </c>
      <c r="C110" s="7" t="s">
        <v>240</v>
      </c>
      <c r="D110" s="7" t="s">
        <v>236</v>
      </c>
      <c r="E110" s="7" t="s">
        <v>13</v>
      </c>
      <c r="F110" s="12">
        <v>24110</v>
      </c>
      <c r="G110" s="3"/>
      <c r="H110" s="12">
        <f t="shared" si="3"/>
        <v>28690.899999999998</v>
      </c>
      <c r="I110" s="12"/>
      <c r="J110" s="12">
        <f t="shared" si="2"/>
        <v>36783.205128205125</v>
      </c>
    </row>
    <row r="111" spans="1:10" ht="34.950000000000003" customHeight="1" x14ac:dyDescent="0.3">
      <c r="A111" s="6" t="s">
        <v>57</v>
      </c>
      <c r="B111" s="6" t="s">
        <v>241</v>
      </c>
      <c r="C111" s="6" t="s">
        <v>242</v>
      </c>
      <c r="D111" s="6" t="s">
        <v>236</v>
      </c>
      <c r="E111" s="6" t="s">
        <v>13</v>
      </c>
      <c r="F111" s="13">
        <v>21520</v>
      </c>
      <c r="G111" s="5"/>
      <c r="H111" s="12">
        <f t="shared" si="3"/>
        <v>25608.799999999999</v>
      </c>
      <c r="I111" s="12"/>
      <c r="J111" s="12">
        <f t="shared" si="2"/>
        <v>32831.794871794868</v>
      </c>
    </row>
    <row r="112" spans="1:10" ht="34.950000000000003" customHeight="1" x14ac:dyDescent="0.3">
      <c r="A112" s="7" t="s">
        <v>243</v>
      </c>
      <c r="B112" s="7" t="s">
        <v>244</v>
      </c>
      <c r="C112" s="7" t="s">
        <v>245</v>
      </c>
      <c r="D112" s="7" t="s">
        <v>175</v>
      </c>
      <c r="E112" s="7" t="s">
        <v>246</v>
      </c>
      <c r="F112" s="15"/>
      <c r="G112" s="8">
        <v>56723.21</v>
      </c>
      <c r="H112" s="8">
        <f>G112*1.19</f>
        <v>67500.619899999991</v>
      </c>
      <c r="I112" s="12"/>
      <c r="J112" s="12">
        <f t="shared" si="2"/>
        <v>86539.256282051268</v>
      </c>
    </row>
    <row r="113" spans="1:10" ht="34.950000000000003" customHeight="1" x14ac:dyDescent="0.3">
      <c r="A113" s="6" t="s">
        <v>243</v>
      </c>
      <c r="B113" s="6" t="s">
        <v>247</v>
      </c>
      <c r="C113" s="6" t="s">
        <v>245</v>
      </c>
      <c r="D113" s="6" t="s">
        <v>175</v>
      </c>
      <c r="E113" s="6" t="s">
        <v>246</v>
      </c>
      <c r="F113" s="16"/>
      <c r="G113" s="9">
        <v>56723.21</v>
      </c>
      <c r="H113" s="8">
        <f t="shared" ref="H113:H127" si="4">G113*1.19</f>
        <v>67500.619899999991</v>
      </c>
      <c r="I113" s="12"/>
      <c r="J113" s="12">
        <f t="shared" si="2"/>
        <v>86539.256282051268</v>
      </c>
    </row>
    <row r="114" spans="1:10" ht="34.950000000000003" customHeight="1" x14ac:dyDescent="0.3">
      <c r="A114" s="7" t="s">
        <v>243</v>
      </c>
      <c r="B114" s="7" t="s">
        <v>248</v>
      </c>
      <c r="C114" s="7" t="s">
        <v>249</v>
      </c>
      <c r="D114" s="7" t="s">
        <v>175</v>
      </c>
      <c r="E114" s="7" t="s">
        <v>246</v>
      </c>
      <c r="F114" s="15"/>
      <c r="G114" s="8">
        <v>56723.21</v>
      </c>
      <c r="H114" s="8">
        <f t="shared" si="4"/>
        <v>67500.619899999991</v>
      </c>
      <c r="I114" s="12"/>
      <c r="J114" s="12">
        <f t="shared" si="2"/>
        <v>86539.256282051268</v>
      </c>
    </row>
    <row r="115" spans="1:10" ht="34.950000000000003" customHeight="1" x14ac:dyDescent="0.3">
      <c r="A115" s="6" t="s">
        <v>243</v>
      </c>
      <c r="B115" s="6" t="s">
        <v>250</v>
      </c>
      <c r="C115" s="6" t="s">
        <v>251</v>
      </c>
      <c r="D115" s="6" t="s">
        <v>175</v>
      </c>
      <c r="E115" s="6" t="s">
        <v>246</v>
      </c>
      <c r="F115" s="16"/>
      <c r="G115" s="9">
        <v>64285.71</v>
      </c>
      <c r="H115" s="8">
        <f t="shared" si="4"/>
        <v>76499.994899999991</v>
      </c>
      <c r="I115" s="12"/>
      <c r="J115" s="12">
        <f t="shared" si="2"/>
        <v>98076.916538461519</v>
      </c>
    </row>
    <row r="116" spans="1:10" ht="34.950000000000003" customHeight="1" x14ac:dyDescent="0.3">
      <c r="A116" s="7" t="s">
        <v>243</v>
      </c>
      <c r="B116" s="7" t="s">
        <v>252</v>
      </c>
      <c r="C116" s="7" t="s">
        <v>253</v>
      </c>
      <c r="D116" s="7" t="s">
        <v>175</v>
      </c>
      <c r="E116" s="7" t="s">
        <v>246</v>
      </c>
      <c r="F116" s="15"/>
      <c r="G116" s="8">
        <v>64285.71</v>
      </c>
      <c r="H116" s="8">
        <f t="shared" si="4"/>
        <v>76499.994899999991</v>
      </c>
      <c r="I116" s="12"/>
      <c r="J116" s="12">
        <f t="shared" si="2"/>
        <v>98076.916538461519</v>
      </c>
    </row>
    <row r="117" spans="1:10" ht="34.950000000000003" customHeight="1" x14ac:dyDescent="0.3">
      <c r="A117" s="6" t="s">
        <v>243</v>
      </c>
      <c r="B117" s="6" t="s">
        <v>254</v>
      </c>
      <c r="C117" s="6" t="s">
        <v>255</v>
      </c>
      <c r="D117" s="6" t="s">
        <v>175</v>
      </c>
      <c r="E117" s="6" t="s">
        <v>246</v>
      </c>
      <c r="F117" s="16"/>
      <c r="G117" s="9">
        <v>52941.18</v>
      </c>
      <c r="H117" s="8">
        <f t="shared" si="4"/>
        <v>63000.004199999996</v>
      </c>
      <c r="I117" s="12"/>
      <c r="J117" s="12">
        <f t="shared" si="2"/>
        <v>80769.236153846141</v>
      </c>
    </row>
    <row r="118" spans="1:10" ht="34.950000000000003" customHeight="1" x14ac:dyDescent="0.3">
      <c r="A118" s="7" t="s">
        <v>243</v>
      </c>
      <c r="B118" s="7" t="s">
        <v>256</v>
      </c>
      <c r="C118" s="7" t="s">
        <v>257</v>
      </c>
      <c r="D118" s="7" t="s">
        <v>175</v>
      </c>
      <c r="E118" s="7" t="s">
        <v>246</v>
      </c>
      <c r="F118" s="15"/>
      <c r="G118" s="8">
        <v>52941.18</v>
      </c>
      <c r="H118" s="8">
        <f t="shared" si="4"/>
        <v>63000.004199999996</v>
      </c>
      <c r="I118" s="12"/>
      <c r="J118" s="12">
        <f t="shared" si="2"/>
        <v>80769.236153846141</v>
      </c>
    </row>
    <row r="119" spans="1:10" ht="34.950000000000003" customHeight="1" x14ac:dyDescent="0.3">
      <c r="A119" s="6" t="s">
        <v>243</v>
      </c>
      <c r="B119" s="6" t="s">
        <v>258</v>
      </c>
      <c r="C119" s="6" t="s">
        <v>257</v>
      </c>
      <c r="D119" s="6" t="s">
        <v>175</v>
      </c>
      <c r="E119" s="6" t="s">
        <v>246</v>
      </c>
      <c r="F119" s="16"/>
      <c r="G119" s="9">
        <v>52941.18</v>
      </c>
      <c r="H119" s="8">
        <f t="shared" si="4"/>
        <v>63000.004199999996</v>
      </c>
      <c r="I119" s="12"/>
      <c r="J119" s="12">
        <f t="shared" si="2"/>
        <v>80769.236153846141</v>
      </c>
    </row>
    <row r="120" spans="1:10" ht="34.950000000000003" customHeight="1" x14ac:dyDescent="0.3">
      <c r="A120" s="7" t="s">
        <v>243</v>
      </c>
      <c r="B120" s="7" t="s">
        <v>259</v>
      </c>
      <c r="C120" s="7" t="s">
        <v>260</v>
      </c>
      <c r="D120" s="7" t="s">
        <v>175</v>
      </c>
      <c r="E120" s="7" t="s">
        <v>246</v>
      </c>
      <c r="F120" s="15"/>
      <c r="G120" s="8">
        <v>52941.18</v>
      </c>
      <c r="H120" s="8">
        <f t="shared" si="4"/>
        <v>63000.004199999996</v>
      </c>
      <c r="I120" s="12"/>
      <c r="J120" s="12">
        <f t="shared" si="2"/>
        <v>80769.236153846141</v>
      </c>
    </row>
    <row r="121" spans="1:10" ht="34.950000000000003" customHeight="1" x14ac:dyDescent="0.3">
      <c r="A121" s="6" t="s">
        <v>243</v>
      </c>
      <c r="B121" s="6" t="s">
        <v>261</v>
      </c>
      <c r="C121" s="6" t="s">
        <v>262</v>
      </c>
      <c r="D121" s="6" t="s">
        <v>175</v>
      </c>
      <c r="E121" s="6" t="s">
        <v>246</v>
      </c>
      <c r="F121" s="16"/>
      <c r="G121" s="9">
        <v>37814.730000000003</v>
      </c>
      <c r="H121" s="8">
        <f t="shared" si="4"/>
        <v>44999.528700000003</v>
      </c>
      <c r="I121" s="12"/>
      <c r="J121" s="12">
        <f t="shared" si="2"/>
        <v>57691.703461538462</v>
      </c>
    </row>
    <row r="122" spans="1:10" ht="34.950000000000003" customHeight="1" x14ac:dyDescent="0.3">
      <c r="A122" s="7" t="s">
        <v>243</v>
      </c>
      <c r="B122" s="7" t="s">
        <v>263</v>
      </c>
      <c r="C122" s="7" t="s">
        <v>264</v>
      </c>
      <c r="D122" s="7" t="s">
        <v>12</v>
      </c>
      <c r="E122" s="7" t="s">
        <v>246</v>
      </c>
      <c r="F122" s="15"/>
      <c r="G122" s="8">
        <v>37814.730000000003</v>
      </c>
      <c r="H122" s="8">
        <f t="shared" si="4"/>
        <v>44999.528700000003</v>
      </c>
      <c r="I122" s="12"/>
      <c r="J122" s="12">
        <f t="shared" si="2"/>
        <v>57691.703461538462</v>
      </c>
    </row>
    <row r="123" spans="1:10" ht="34.950000000000003" customHeight="1" x14ac:dyDescent="0.3">
      <c r="A123" s="6" t="s">
        <v>243</v>
      </c>
      <c r="B123" s="6" t="s">
        <v>265</v>
      </c>
      <c r="C123" s="6" t="s">
        <v>266</v>
      </c>
      <c r="D123" s="6" t="s">
        <v>12</v>
      </c>
      <c r="E123" s="6" t="s">
        <v>246</v>
      </c>
      <c r="F123" s="16"/>
      <c r="G123" s="9">
        <v>105882.35</v>
      </c>
      <c r="H123" s="8">
        <f t="shared" si="4"/>
        <v>125999.99650000001</v>
      </c>
      <c r="I123" s="12"/>
      <c r="J123" s="12">
        <f t="shared" si="2"/>
        <v>161538.45705128205</v>
      </c>
    </row>
    <row r="124" spans="1:10" ht="34.950000000000003" customHeight="1" x14ac:dyDescent="0.3">
      <c r="A124" s="7" t="s">
        <v>243</v>
      </c>
      <c r="B124" s="7" t="s">
        <v>267</v>
      </c>
      <c r="C124" s="7" t="s">
        <v>268</v>
      </c>
      <c r="D124" s="7" t="s">
        <v>12</v>
      </c>
      <c r="E124" s="7" t="s">
        <v>246</v>
      </c>
      <c r="F124" s="15"/>
      <c r="G124" s="8">
        <v>105882.35</v>
      </c>
      <c r="H124" s="8">
        <f t="shared" si="4"/>
        <v>125999.99650000001</v>
      </c>
      <c r="I124" s="12"/>
      <c r="J124" s="12">
        <f t="shared" si="2"/>
        <v>161538.45705128205</v>
      </c>
    </row>
    <row r="125" spans="1:10" ht="34.950000000000003" customHeight="1" x14ac:dyDescent="0.3">
      <c r="A125" s="6" t="s">
        <v>243</v>
      </c>
      <c r="B125" s="6" t="s">
        <v>269</v>
      </c>
      <c r="C125" s="6" t="s">
        <v>270</v>
      </c>
      <c r="D125" s="6" t="s">
        <v>12</v>
      </c>
      <c r="E125" s="6" t="s">
        <v>246</v>
      </c>
      <c r="F125" s="16"/>
      <c r="G125" s="9">
        <v>90756.31</v>
      </c>
      <c r="H125" s="8">
        <f t="shared" si="4"/>
        <v>108000.00889999999</v>
      </c>
      <c r="I125" s="12"/>
      <c r="J125" s="12">
        <f t="shared" si="2"/>
        <v>138461.54987179485</v>
      </c>
    </row>
    <row r="126" spans="1:10" ht="34.950000000000003" customHeight="1" x14ac:dyDescent="0.3">
      <c r="A126" s="7" t="s">
        <v>243</v>
      </c>
      <c r="B126" s="7" t="s">
        <v>271</v>
      </c>
      <c r="C126" s="7" t="s">
        <v>272</v>
      </c>
      <c r="D126" s="7" t="s">
        <v>131</v>
      </c>
      <c r="E126" s="7" t="s">
        <v>246</v>
      </c>
      <c r="F126" s="15"/>
      <c r="G126" s="8">
        <v>90756.31</v>
      </c>
      <c r="H126" s="8">
        <f t="shared" si="4"/>
        <v>108000.00889999999</v>
      </c>
      <c r="I126" s="12"/>
      <c r="J126" s="12">
        <f t="shared" si="2"/>
        <v>138461.54987179485</v>
      </c>
    </row>
    <row r="127" spans="1:10" ht="34.950000000000003" customHeight="1" x14ac:dyDescent="0.3">
      <c r="A127" s="6" t="s">
        <v>243</v>
      </c>
      <c r="B127" s="6" t="s">
        <v>273</v>
      </c>
      <c r="C127" s="6" t="s">
        <v>274</v>
      </c>
      <c r="D127" s="6" t="s">
        <v>131</v>
      </c>
      <c r="E127" s="6" t="s">
        <v>246</v>
      </c>
      <c r="F127" s="16"/>
      <c r="G127" s="9">
        <v>90756.31</v>
      </c>
      <c r="H127" s="8">
        <f t="shared" si="4"/>
        <v>108000.00889999999</v>
      </c>
      <c r="I127" s="12"/>
      <c r="J127" s="12">
        <f t="shared" si="2"/>
        <v>138461.54987179485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topLeftCell="B1" zoomScale="121"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style="25" customWidth="1"/>
    <col min="2" max="2" width="18" style="25" customWidth="1"/>
    <col min="3" max="3" width="52" style="25" customWidth="1"/>
    <col min="4" max="4" width="22" style="25" customWidth="1"/>
    <col min="5" max="5" width="15.33203125" style="25" customWidth="1"/>
    <col min="6" max="8" width="22" style="25" customWidth="1"/>
    <col min="9" max="9" width="15.44140625" style="25" customWidth="1"/>
    <col min="10" max="10" width="14.33203125" style="25" customWidth="1"/>
    <col min="11" max="16384" width="9.109375" style="25"/>
  </cols>
  <sheetData>
    <row r="1" spans="1:10" ht="27.9" customHeight="1" x14ac:dyDescent="0.3">
      <c r="A1" s="33" t="s">
        <v>275</v>
      </c>
      <c r="B1" s="34"/>
      <c r="C1" s="34"/>
      <c r="D1" s="34"/>
      <c r="E1" s="34"/>
      <c r="F1" s="34"/>
      <c r="G1" s="34"/>
      <c r="H1" s="34"/>
    </row>
    <row r="2" spans="1:10" ht="30" customHeight="1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0" t="s">
        <v>306</v>
      </c>
      <c r="I2" s="20"/>
      <c r="J2" s="20" t="s">
        <v>305</v>
      </c>
    </row>
    <row r="3" spans="1:10" x14ac:dyDescent="0.3">
      <c r="A3" s="21" t="s">
        <v>9</v>
      </c>
      <c r="B3" s="21" t="s">
        <v>10</v>
      </c>
      <c r="C3" s="21" t="s">
        <v>11</v>
      </c>
      <c r="D3" s="21" t="s">
        <v>12</v>
      </c>
      <c r="E3" s="21" t="s">
        <v>13</v>
      </c>
      <c r="F3" s="22">
        <v>27500</v>
      </c>
      <c r="G3" s="22"/>
      <c r="H3" s="22">
        <f>F3*1.19+6000</f>
        <v>38725</v>
      </c>
      <c r="I3" s="22"/>
      <c r="J3" s="22">
        <f>H3/0.78</f>
        <v>49647.435897435898</v>
      </c>
    </row>
    <row r="4" spans="1:10" x14ac:dyDescent="0.3">
      <c r="A4" s="23" t="s">
        <v>9</v>
      </c>
      <c r="B4" s="23" t="s">
        <v>14</v>
      </c>
      <c r="C4" s="23" t="s">
        <v>15</v>
      </c>
      <c r="D4" s="23" t="s">
        <v>12</v>
      </c>
      <c r="E4" s="23" t="s">
        <v>13</v>
      </c>
      <c r="F4" s="24">
        <v>23630</v>
      </c>
      <c r="G4" s="24"/>
      <c r="H4" s="22">
        <f t="shared" ref="H4:H24" si="0">F4*1.19+6000</f>
        <v>34119.699999999997</v>
      </c>
      <c r="I4" s="22"/>
      <c r="J4" s="22">
        <f t="shared" ref="J4:J24" si="1">H4/0.78</f>
        <v>43743.205128205125</v>
      </c>
    </row>
    <row r="5" spans="1:10" x14ac:dyDescent="0.3">
      <c r="A5" s="21" t="s">
        <v>9</v>
      </c>
      <c r="B5" s="21" t="s">
        <v>16</v>
      </c>
      <c r="C5" s="21" t="s">
        <v>17</v>
      </c>
      <c r="D5" s="21" t="s">
        <v>12</v>
      </c>
      <c r="E5" s="21" t="s">
        <v>13</v>
      </c>
      <c r="F5" s="22">
        <v>31280</v>
      </c>
      <c r="G5" s="22"/>
      <c r="H5" s="22">
        <f t="shared" si="0"/>
        <v>43223.199999999997</v>
      </c>
      <c r="I5" s="22"/>
      <c r="J5" s="22">
        <f t="shared" si="1"/>
        <v>55414.358974358969</v>
      </c>
    </row>
    <row r="6" spans="1:10" x14ac:dyDescent="0.3">
      <c r="A6" s="23" t="s">
        <v>9</v>
      </c>
      <c r="B6" s="23" t="s">
        <v>18</v>
      </c>
      <c r="C6" s="23" t="s">
        <v>19</v>
      </c>
      <c r="D6" s="23" t="s">
        <v>12</v>
      </c>
      <c r="E6" s="23" t="s">
        <v>13</v>
      </c>
      <c r="F6" s="24">
        <v>26580</v>
      </c>
      <c r="G6" s="24"/>
      <c r="H6" s="22">
        <f t="shared" si="0"/>
        <v>37630.199999999997</v>
      </c>
      <c r="I6" s="22"/>
      <c r="J6" s="22">
        <f t="shared" si="1"/>
        <v>48243.846153846149</v>
      </c>
    </row>
    <row r="7" spans="1:10" x14ac:dyDescent="0.3">
      <c r="A7" s="21" t="s">
        <v>9</v>
      </c>
      <c r="B7" s="21" t="s">
        <v>20</v>
      </c>
      <c r="C7" s="21" t="s">
        <v>21</v>
      </c>
      <c r="D7" s="21" t="s">
        <v>12</v>
      </c>
      <c r="E7" s="21" t="s">
        <v>13</v>
      </c>
      <c r="F7" s="22">
        <v>23410</v>
      </c>
      <c r="G7" s="22"/>
      <c r="H7" s="22">
        <f t="shared" si="0"/>
        <v>33857.899999999994</v>
      </c>
      <c r="I7" s="22"/>
      <c r="J7" s="22">
        <f t="shared" si="1"/>
        <v>43407.564102564094</v>
      </c>
    </row>
    <row r="8" spans="1:10" x14ac:dyDescent="0.3">
      <c r="A8" s="23" t="s">
        <v>9</v>
      </c>
      <c r="B8" s="23" t="s">
        <v>22</v>
      </c>
      <c r="C8" s="23" t="s">
        <v>23</v>
      </c>
      <c r="D8" s="23" t="s">
        <v>12</v>
      </c>
      <c r="E8" s="23" t="s">
        <v>13</v>
      </c>
      <c r="F8" s="24">
        <v>26580</v>
      </c>
      <c r="G8" s="24"/>
      <c r="H8" s="22">
        <f t="shared" si="0"/>
        <v>37630.199999999997</v>
      </c>
      <c r="I8" s="22"/>
      <c r="J8" s="22">
        <f t="shared" si="1"/>
        <v>48243.846153846149</v>
      </c>
    </row>
    <row r="9" spans="1:10" x14ac:dyDescent="0.3">
      <c r="A9" s="21" t="s">
        <v>9</v>
      </c>
      <c r="B9" s="21" t="s">
        <v>24</v>
      </c>
      <c r="C9" s="21" t="s">
        <v>25</v>
      </c>
      <c r="D9" s="21" t="s">
        <v>12</v>
      </c>
      <c r="E9" s="21" t="s">
        <v>13</v>
      </c>
      <c r="F9" s="22">
        <v>47740</v>
      </c>
      <c r="G9" s="22"/>
      <c r="H9" s="22">
        <f t="shared" si="0"/>
        <v>62810.6</v>
      </c>
      <c r="I9" s="22"/>
      <c r="J9" s="22">
        <f t="shared" si="1"/>
        <v>80526.41025641025</v>
      </c>
    </row>
    <row r="10" spans="1:10" x14ac:dyDescent="0.3">
      <c r="A10" s="23" t="s">
        <v>26</v>
      </c>
      <c r="B10" s="23" t="s">
        <v>27</v>
      </c>
      <c r="C10" s="23" t="s">
        <v>28</v>
      </c>
      <c r="D10" s="23" t="s">
        <v>12</v>
      </c>
      <c r="E10" s="23" t="s">
        <v>13</v>
      </c>
      <c r="F10" s="24">
        <v>27680</v>
      </c>
      <c r="G10" s="24"/>
      <c r="H10" s="22">
        <f t="shared" si="0"/>
        <v>38939.199999999997</v>
      </c>
      <c r="I10" s="22"/>
      <c r="J10" s="22">
        <f t="shared" si="1"/>
        <v>49922.051282051274</v>
      </c>
    </row>
    <row r="11" spans="1:10" x14ac:dyDescent="0.3">
      <c r="A11" s="21" t="s">
        <v>26</v>
      </c>
      <c r="B11" s="21" t="s">
        <v>29</v>
      </c>
      <c r="C11" s="21" t="s">
        <v>30</v>
      </c>
      <c r="D11" s="21" t="s">
        <v>12</v>
      </c>
      <c r="E11" s="21" t="s">
        <v>13</v>
      </c>
      <c r="F11" s="22">
        <v>27500</v>
      </c>
      <c r="G11" s="22"/>
      <c r="H11" s="22">
        <f t="shared" si="0"/>
        <v>38725</v>
      </c>
      <c r="I11" s="22"/>
      <c r="J11" s="22">
        <f t="shared" si="1"/>
        <v>49647.435897435898</v>
      </c>
    </row>
    <row r="12" spans="1:10" x14ac:dyDescent="0.3">
      <c r="A12" s="23" t="s">
        <v>26</v>
      </c>
      <c r="B12" s="23" t="s">
        <v>31</v>
      </c>
      <c r="C12" s="23" t="s">
        <v>32</v>
      </c>
      <c r="D12" s="23" t="s">
        <v>12</v>
      </c>
      <c r="E12" s="23" t="s">
        <v>13</v>
      </c>
      <c r="F12" s="24">
        <v>24820</v>
      </c>
      <c r="G12" s="24"/>
      <c r="H12" s="22">
        <f t="shared" si="0"/>
        <v>35535.800000000003</v>
      </c>
      <c r="I12" s="22"/>
      <c r="J12" s="22">
        <f t="shared" si="1"/>
        <v>45558.717948717953</v>
      </c>
    </row>
    <row r="13" spans="1:10" x14ac:dyDescent="0.3">
      <c r="A13" s="21" t="s">
        <v>26</v>
      </c>
      <c r="B13" s="21" t="s">
        <v>33</v>
      </c>
      <c r="C13" s="21" t="s">
        <v>34</v>
      </c>
      <c r="D13" s="21" t="s">
        <v>12</v>
      </c>
      <c r="E13" s="21" t="s">
        <v>13</v>
      </c>
      <c r="F13" s="22">
        <v>24820</v>
      </c>
      <c r="G13" s="22"/>
      <c r="H13" s="22">
        <f t="shared" si="0"/>
        <v>35535.800000000003</v>
      </c>
      <c r="I13" s="22"/>
      <c r="J13" s="22">
        <f t="shared" si="1"/>
        <v>45558.717948717953</v>
      </c>
    </row>
    <row r="14" spans="1:10" x14ac:dyDescent="0.3">
      <c r="A14" s="23" t="s">
        <v>26</v>
      </c>
      <c r="B14" s="23" t="s">
        <v>35</v>
      </c>
      <c r="C14" s="23" t="s">
        <v>36</v>
      </c>
      <c r="D14" s="23" t="s">
        <v>12</v>
      </c>
      <c r="E14" s="23" t="s">
        <v>13</v>
      </c>
      <c r="F14" s="24">
        <v>23630</v>
      </c>
      <c r="G14" s="24"/>
      <c r="H14" s="22">
        <f t="shared" si="0"/>
        <v>34119.699999999997</v>
      </c>
      <c r="I14" s="22"/>
      <c r="J14" s="22">
        <f t="shared" si="1"/>
        <v>43743.205128205125</v>
      </c>
    </row>
    <row r="15" spans="1:10" x14ac:dyDescent="0.3">
      <c r="A15" s="21" t="s">
        <v>26</v>
      </c>
      <c r="B15" s="21" t="s">
        <v>37</v>
      </c>
      <c r="C15" s="21" t="s">
        <v>38</v>
      </c>
      <c r="D15" s="21" t="s">
        <v>12</v>
      </c>
      <c r="E15" s="21" t="s">
        <v>13</v>
      </c>
      <c r="F15" s="22">
        <v>18040</v>
      </c>
      <c r="G15" s="22"/>
      <c r="H15" s="22">
        <f t="shared" si="0"/>
        <v>27467.599999999999</v>
      </c>
      <c r="I15" s="22"/>
      <c r="J15" s="22">
        <f t="shared" si="1"/>
        <v>35214.871794871789</v>
      </c>
    </row>
    <row r="16" spans="1:10" x14ac:dyDescent="0.3">
      <c r="A16" s="23" t="s">
        <v>26</v>
      </c>
      <c r="B16" s="23" t="s">
        <v>39</v>
      </c>
      <c r="C16" s="23" t="s">
        <v>40</v>
      </c>
      <c r="D16" s="23" t="s">
        <v>12</v>
      </c>
      <c r="E16" s="23" t="s">
        <v>13</v>
      </c>
      <c r="F16" s="24">
        <v>20990</v>
      </c>
      <c r="G16" s="24"/>
      <c r="H16" s="22">
        <f t="shared" si="0"/>
        <v>30978.1</v>
      </c>
      <c r="I16" s="22"/>
      <c r="J16" s="22">
        <f t="shared" si="1"/>
        <v>39715.51282051282</v>
      </c>
    </row>
    <row r="17" spans="1:10" x14ac:dyDescent="0.3">
      <c r="A17" s="21" t="s">
        <v>26</v>
      </c>
      <c r="B17" s="21" t="s">
        <v>41</v>
      </c>
      <c r="C17" s="21" t="s">
        <v>42</v>
      </c>
      <c r="D17" s="21" t="s">
        <v>12</v>
      </c>
      <c r="E17" s="21" t="s">
        <v>13</v>
      </c>
      <c r="F17" s="22">
        <v>21910</v>
      </c>
      <c r="G17" s="22"/>
      <c r="H17" s="22">
        <f t="shared" si="0"/>
        <v>32072.899999999998</v>
      </c>
      <c r="I17" s="22"/>
      <c r="J17" s="22">
        <f t="shared" si="1"/>
        <v>41119.102564102563</v>
      </c>
    </row>
    <row r="18" spans="1:10" x14ac:dyDescent="0.3">
      <c r="A18" s="23" t="s">
        <v>43</v>
      </c>
      <c r="B18" s="23" t="s">
        <v>44</v>
      </c>
      <c r="C18" s="23" t="s">
        <v>45</v>
      </c>
      <c r="D18" s="23" t="s">
        <v>12</v>
      </c>
      <c r="E18" s="23" t="s">
        <v>13</v>
      </c>
      <c r="F18" s="24">
        <v>22220</v>
      </c>
      <c r="G18" s="24"/>
      <c r="H18" s="22">
        <f t="shared" si="0"/>
        <v>32441.8</v>
      </c>
      <c r="I18" s="22"/>
      <c r="J18" s="22">
        <f t="shared" si="1"/>
        <v>41592.051282051281</v>
      </c>
    </row>
    <row r="19" spans="1:10" x14ac:dyDescent="0.3">
      <c r="A19" s="21" t="s">
        <v>43</v>
      </c>
      <c r="B19" s="21" t="s">
        <v>46</v>
      </c>
      <c r="C19" s="21" t="s">
        <v>47</v>
      </c>
      <c r="D19" s="21" t="s">
        <v>12</v>
      </c>
      <c r="E19" s="21" t="s">
        <v>13</v>
      </c>
      <c r="F19" s="22">
        <v>22220</v>
      </c>
      <c r="G19" s="22"/>
      <c r="H19" s="22">
        <f t="shared" si="0"/>
        <v>32441.8</v>
      </c>
      <c r="I19" s="22"/>
      <c r="J19" s="22">
        <f t="shared" si="1"/>
        <v>41592.051282051281</v>
      </c>
    </row>
    <row r="20" spans="1:10" x14ac:dyDescent="0.3">
      <c r="A20" s="23" t="s">
        <v>43</v>
      </c>
      <c r="B20" s="23" t="s">
        <v>48</v>
      </c>
      <c r="C20" s="23" t="s">
        <v>49</v>
      </c>
      <c r="D20" s="23" t="s">
        <v>12</v>
      </c>
      <c r="E20" s="23" t="s">
        <v>13</v>
      </c>
      <c r="F20" s="24">
        <v>21470</v>
      </c>
      <c r="G20" s="24"/>
      <c r="H20" s="22">
        <f t="shared" si="0"/>
        <v>31549.3</v>
      </c>
      <c r="I20" s="22"/>
      <c r="J20" s="22">
        <f t="shared" si="1"/>
        <v>40447.820512820508</v>
      </c>
    </row>
    <row r="21" spans="1:10" x14ac:dyDescent="0.3">
      <c r="A21" s="21" t="s">
        <v>43</v>
      </c>
      <c r="B21" s="21" t="s">
        <v>50</v>
      </c>
      <c r="C21" s="21" t="s">
        <v>51</v>
      </c>
      <c r="D21" s="21" t="s">
        <v>12</v>
      </c>
      <c r="E21" s="21" t="s">
        <v>13</v>
      </c>
      <c r="F21" s="22">
        <v>25870</v>
      </c>
      <c r="G21" s="22"/>
      <c r="H21" s="22">
        <f t="shared" si="0"/>
        <v>36785.300000000003</v>
      </c>
      <c r="I21" s="22"/>
      <c r="J21" s="22">
        <f t="shared" si="1"/>
        <v>47160.641025641031</v>
      </c>
    </row>
    <row r="22" spans="1:10" x14ac:dyDescent="0.3">
      <c r="A22" s="23" t="s">
        <v>52</v>
      </c>
      <c r="B22" s="23" t="s">
        <v>53</v>
      </c>
      <c r="C22" s="23" t="s">
        <v>54</v>
      </c>
      <c r="D22" s="23" t="s">
        <v>12</v>
      </c>
      <c r="E22" s="23" t="s">
        <v>13</v>
      </c>
      <c r="F22" s="24">
        <v>152460</v>
      </c>
      <c r="G22" s="24"/>
      <c r="H22" s="22">
        <f t="shared" si="0"/>
        <v>187427.4</v>
      </c>
      <c r="I22" s="22"/>
      <c r="J22" s="22">
        <f t="shared" si="1"/>
        <v>240291.53846153844</v>
      </c>
    </row>
    <row r="23" spans="1:10" x14ac:dyDescent="0.3">
      <c r="A23" s="21" t="s">
        <v>52</v>
      </c>
      <c r="B23" s="21" t="s">
        <v>55</v>
      </c>
      <c r="C23" s="21" t="s">
        <v>56</v>
      </c>
      <c r="D23" s="21" t="s">
        <v>12</v>
      </c>
      <c r="E23" s="21" t="s">
        <v>13</v>
      </c>
      <c r="F23" s="22">
        <v>152460</v>
      </c>
      <c r="G23" s="22"/>
      <c r="H23" s="22">
        <f t="shared" si="0"/>
        <v>187427.4</v>
      </c>
      <c r="I23" s="22"/>
      <c r="J23" s="22">
        <f t="shared" si="1"/>
        <v>240291.53846153844</v>
      </c>
    </row>
    <row r="24" spans="1:10" x14ac:dyDescent="0.3">
      <c r="A24" s="23" t="s">
        <v>57</v>
      </c>
      <c r="B24" s="23" t="s">
        <v>58</v>
      </c>
      <c r="C24" s="23" t="s">
        <v>59</v>
      </c>
      <c r="D24" s="23" t="s">
        <v>12</v>
      </c>
      <c r="E24" s="23" t="s">
        <v>13</v>
      </c>
      <c r="F24" s="24">
        <v>28420</v>
      </c>
      <c r="G24" s="24"/>
      <c r="H24" s="22">
        <f t="shared" si="0"/>
        <v>39819.799999999996</v>
      </c>
      <c r="I24" s="22"/>
      <c r="J24" s="22">
        <f t="shared" si="1"/>
        <v>51051.025641025633</v>
      </c>
    </row>
    <row r="25" spans="1:10" x14ac:dyDescent="0.3">
      <c r="A25" s="21" t="s">
        <v>243</v>
      </c>
      <c r="B25" s="21" t="s">
        <v>263</v>
      </c>
      <c r="C25" s="21" t="s">
        <v>264</v>
      </c>
      <c r="D25" s="21" t="s">
        <v>12</v>
      </c>
      <c r="E25" s="21" t="s">
        <v>246</v>
      </c>
      <c r="F25" s="21"/>
      <c r="G25" s="22">
        <v>37814.730000000003</v>
      </c>
      <c r="H25" s="22">
        <f>G25*1.19+6000</f>
        <v>50999.528700000003</v>
      </c>
      <c r="I25" s="22"/>
      <c r="J25" s="22">
        <f t="shared" ref="J25:J28" si="2">H25/0.78</f>
        <v>65384.011153846157</v>
      </c>
    </row>
    <row r="26" spans="1:10" x14ac:dyDescent="0.3">
      <c r="A26" s="23" t="s">
        <v>243</v>
      </c>
      <c r="B26" s="23" t="s">
        <v>265</v>
      </c>
      <c r="C26" s="23" t="s">
        <v>266</v>
      </c>
      <c r="D26" s="23" t="s">
        <v>12</v>
      </c>
      <c r="E26" s="23" t="s">
        <v>246</v>
      </c>
      <c r="F26" s="23"/>
      <c r="G26" s="24">
        <v>105882.35</v>
      </c>
      <c r="H26" s="22">
        <f t="shared" ref="H26:H28" si="3">G26*1.19+6000</f>
        <v>131999.99650000001</v>
      </c>
      <c r="I26" s="22"/>
      <c r="J26" s="22">
        <f t="shared" si="2"/>
        <v>169230.76474358974</v>
      </c>
    </row>
    <row r="27" spans="1:10" x14ac:dyDescent="0.3">
      <c r="A27" s="21" t="s">
        <v>243</v>
      </c>
      <c r="B27" s="21" t="s">
        <v>267</v>
      </c>
      <c r="C27" s="21" t="s">
        <v>268</v>
      </c>
      <c r="D27" s="21" t="s">
        <v>12</v>
      </c>
      <c r="E27" s="21" t="s">
        <v>246</v>
      </c>
      <c r="F27" s="21"/>
      <c r="G27" s="22">
        <v>105882.35</v>
      </c>
      <c r="H27" s="22">
        <f t="shared" si="3"/>
        <v>131999.99650000001</v>
      </c>
      <c r="I27" s="22"/>
      <c r="J27" s="22">
        <f t="shared" si="2"/>
        <v>169230.76474358974</v>
      </c>
    </row>
    <row r="28" spans="1:10" x14ac:dyDescent="0.3">
      <c r="A28" s="23" t="s">
        <v>243</v>
      </c>
      <c r="B28" s="23" t="s">
        <v>269</v>
      </c>
      <c r="C28" s="23" t="s">
        <v>270</v>
      </c>
      <c r="D28" s="23" t="s">
        <v>12</v>
      </c>
      <c r="E28" s="23" t="s">
        <v>246</v>
      </c>
      <c r="F28" s="23"/>
      <c r="G28" s="24">
        <v>90756.31</v>
      </c>
      <c r="H28" s="22">
        <f t="shared" si="3"/>
        <v>114000.00889999999</v>
      </c>
      <c r="I28" s="22"/>
      <c r="J28" s="22">
        <f t="shared" si="2"/>
        <v>146153.85756410254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276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26</v>
      </c>
      <c r="B3" s="2" t="s">
        <v>60</v>
      </c>
      <c r="C3" s="2" t="s">
        <v>61</v>
      </c>
      <c r="D3" s="2" t="s">
        <v>62</v>
      </c>
      <c r="E3" s="2" t="s">
        <v>13</v>
      </c>
      <c r="F3" s="12">
        <v>17290</v>
      </c>
      <c r="G3" s="3"/>
      <c r="H3" s="22">
        <f>F3*1.19+6000</f>
        <v>26575.1</v>
      </c>
      <c r="I3" s="22"/>
      <c r="J3" s="22">
        <f>H3/0.78</f>
        <v>34070.641025641024</v>
      </c>
    </row>
    <row r="4" spans="1:10" x14ac:dyDescent="0.3">
      <c r="A4" s="4" t="s">
        <v>52</v>
      </c>
      <c r="B4" s="4" t="s">
        <v>63</v>
      </c>
      <c r="C4" s="4" t="s">
        <v>64</v>
      </c>
      <c r="D4" s="4" t="s">
        <v>62</v>
      </c>
      <c r="E4" s="4" t="s">
        <v>13</v>
      </c>
      <c r="F4" s="13">
        <v>78800</v>
      </c>
      <c r="G4" s="5"/>
      <c r="H4" s="22">
        <f t="shared" ref="H4:H5" si="0">F4*1.19+6000</f>
        <v>99772</v>
      </c>
      <c r="I4" s="22"/>
      <c r="J4" s="22">
        <f t="shared" ref="J4:J5" si="1">H4/0.78</f>
        <v>127912.82051282052</v>
      </c>
    </row>
    <row r="5" spans="1:10" x14ac:dyDescent="0.3">
      <c r="A5" s="2" t="s">
        <v>57</v>
      </c>
      <c r="B5" s="2" t="s">
        <v>65</v>
      </c>
      <c r="C5" s="2" t="s">
        <v>66</v>
      </c>
      <c r="D5" s="2" t="s">
        <v>62</v>
      </c>
      <c r="E5" s="2" t="s">
        <v>13</v>
      </c>
      <c r="F5" s="12">
        <v>78800</v>
      </c>
      <c r="G5" s="3"/>
      <c r="H5" s="22">
        <f t="shared" si="0"/>
        <v>99772</v>
      </c>
      <c r="I5" s="22"/>
      <c r="J5" s="22">
        <f t="shared" si="1"/>
        <v>127912.82051282052</v>
      </c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277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43</v>
      </c>
      <c r="B3" s="2" t="s">
        <v>67</v>
      </c>
      <c r="C3" s="2" t="s">
        <v>68</v>
      </c>
      <c r="D3" s="2" t="s">
        <v>69</v>
      </c>
      <c r="E3" s="2" t="s">
        <v>13</v>
      </c>
      <c r="F3" s="12">
        <v>18220</v>
      </c>
      <c r="G3" s="3"/>
      <c r="H3" s="22">
        <f>F3*1.19+6000</f>
        <v>27681.8</v>
      </c>
      <c r="I3" s="22"/>
      <c r="J3" s="22">
        <f>H3/0.78</f>
        <v>35489.48717948718</v>
      </c>
    </row>
    <row r="4" spans="1:10" x14ac:dyDescent="0.3">
      <c r="H4"/>
      <c r="I4"/>
      <c r="J4"/>
    </row>
    <row r="5" spans="1:10" x14ac:dyDescent="0.3">
      <c r="H5"/>
      <c r="I5"/>
      <c r="J5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278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26</v>
      </c>
      <c r="B3" s="2" t="s">
        <v>70</v>
      </c>
      <c r="C3" s="2" t="s">
        <v>71</v>
      </c>
      <c r="D3" s="2" t="s">
        <v>72</v>
      </c>
      <c r="E3" s="2" t="s">
        <v>13</v>
      </c>
      <c r="F3" s="12">
        <v>17200</v>
      </c>
      <c r="G3" s="3"/>
      <c r="H3" s="22">
        <f>F3*1.19+6000</f>
        <v>26468</v>
      </c>
      <c r="I3" s="22"/>
      <c r="J3" s="22">
        <f>H3/0.78</f>
        <v>33933.333333333336</v>
      </c>
    </row>
    <row r="4" spans="1:10" x14ac:dyDescent="0.3">
      <c r="H4"/>
      <c r="I4"/>
      <c r="J4"/>
    </row>
    <row r="5" spans="1:10" x14ac:dyDescent="0.3">
      <c r="H5"/>
      <c r="I5"/>
      <c r="J5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279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9</v>
      </c>
      <c r="B3" s="2" t="s">
        <v>73</v>
      </c>
      <c r="C3" s="2" t="s">
        <v>74</v>
      </c>
      <c r="D3" s="2" t="s">
        <v>75</v>
      </c>
      <c r="E3" s="2" t="s">
        <v>13</v>
      </c>
      <c r="F3" s="12">
        <v>18920</v>
      </c>
      <c r="G3" s="3"/>
      <c r="H3" s="22">
        <f>F3*1.19+6000</f>
        <v>28514.799999999999</v>
      </c>
      <c r="I3" s="22"/>
      <c r="J3" s="22">
        <f>H3/0.78</f>
        <v>36557.435897435898</v>
      </c>
    </row>
    <row r="4" spans="1:10" x14ac:dyDescent="0.3">
      <c r="A4" s="4" t="s">
        <v>26</v>
      </c>
      <c r="B4" s="4" t="s">
        <v>76</v>
      </c>
      <c r="C4" s="4" t="s">
        <v>77</v>
      </c>
      <c r="D4" s="4" t="s">
        <v>75</v>
      </c>
      <c r="E4" s="4" t="s">
        <v>13</v>
      </c>
      <c r="F4" s="13">
        <v>18920</v>
      </c>
      <c r="G4" s="5"/>
      <c r="H4" s="22">
        <f t="shared" ref="H4:H7" si="0">F4*1.19+6000</f>
        <v>28514.799999999999</v>
      </c>
      <c r="I4" s="22"/>
      <c r="J4" s="22">
        <f t="shared" ref="J4:J7" si="1">H4/0.78</f>
        <v>36557.435897435898</v>
      </c>
    </row>
    <row r="5" spans="1:10" x14ac:dyDescent="0.3">
      <c r="A5" s="2" t="s">
        <v>43</v>
      </c>
      <c r="B5" s="2" t="s">
        <v>78</v>
      </c>
      <c r="C5" s="2" t="s">
        <v>79</v>
      </c>
      <c r="D5" s="2" t="s">
        <v>75</v>
      </c>
      <c r="E5" s="2" t="s">
        <v>13</v>
      </c>
      <c r="F5" s="12">
        <v>20720</v>
      </c>
      <c r="G5" s="3"/>
      <c r="H5" s="22">
        <f t="shared" si="0"/>
        <v>30656.799999999999</v>
      </c>
      <c r="I5" s="22"/>
      <c r="J5" s="22">
        <f t="shared" si="1"/>
        <v>39303.589743589742</v>
      </c>
    </row>
    <row r="6" spans="1:10" x14ac:dyDescent="0.3">
      <c r="A6" s="4" t="s">
        <v>52</v>
      </c>
      <c r="B6" s="4" t="s">
        <v>80</v>
      </c>
      <c r="C6" s="4" t="s">
        <v>81</v>
      </c>
      <c r="D6" s="4" t="s">
        <v>75</v>
      </c>
      <c r="E6" s="4" t="s">
        <v>13</v>
      </c>
      <c r="F6" s="13">
        <v>123900</v>
      </c>
      <c r="G6" s="5"/>
      <c r="H6" s="22">
        <f t="shared" si="0"/>
        <v>153441</v>
      </c>
      <c r="I6" s="22"/>
      <c r="J6" s="22">
        <f t="shared" si="1"/>
        <v>196719.23076923075</v>
      </c>
    </row>
    <row r="7" spans="1:10" x14ac:dyDescent="0.3">
      <c r="A7" s="2" t="s">
        <v>52</v>
      </c>
      <c r="B7" s="2" t="s">
        <v>82</v>
      </c>
      <c r="C7" s="2" t="s">
        <v>83</v>
      </c>
      <c r="D7" s="2" t="s">
        <v>75</v>
      </c>
      <c r="E7" s="2" t="s">
        <v>13</v>
      </c>
      <c r="F7" s="12">
        <v>123900</v>
      </c>
      <c r="G7" s="3"/>
      <c r="H7" s="22">
        <f t="shared" si="0"/>
        <v>153441</v>
      </c>
      <c r="I7" s="22"/>
      <c r="J7" s="22">
        <f t="shared" si="1"/>
        <v>196719.23076923075</v>
      </c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280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26</v>
      </c>
      <c r="B3" s="2" t="s">
        <v>84</v>
      </c>
      <c r="C3" s="2" t="s">
        <v>85</v>
      </c>
      <c r="D3" s="2" t="s">
        <v>86</v>
      </c>
      <c r="E3" s="2" t="s">
        <v>13</v>
      </c>
      <c r="F3" s="12">
        <v>18520</v>
      </c>
      <c r="G3" s="3"/>
      <c r="H3" s="22">
        <f>F3*1.19+6000</f>
        <v>28038.799999999999</v>
      </c>
      <c r="I3" s="22"/>
      <c r="J3" s="22">
        <f>H3/0.78</f>
        <v>35947.179487179485</v>
      </c>
    </row>
    <row r="4" spans="1:10" x14ac:dyDescent="0.3">
      <c r="A4" s="4" t="s">
        <v>57</v>
      </c>
      <c r="B4" s="4" t="s">
        <v>87</v>
      </c>
      <c r="C4" s="4" t="s">
        <v>88</v>
      </c>
      <c r="D4" s="4" t="s">
        <v>86</v>
      </c>
      <c r="E4" s="4" t="s">
        <v>13</v>
      </c>
      <c r="F4" s="13">
        <v>19980</v>
      </c>
      <c r="G4" s="5"/>
      <c r="H4" s="22">
        <f>F4*1.19+6000</f>
        <v>29776.2</v>
      </c>
      <c r="I4" s="22"/>
      <c r="J4" s="22">
        <f>H4/0.78</f>
        <v>38174.615384615383</v>
      </c>
    </row>
    <row r="5" spans="1:10" x14ac:dyDescent="0.3">
      <c r="H5"/>
      <c r="I5"/>
      <c r="J5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281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9</v>
      </c>
      <c r="B3" s="2" t="s">
        <v>299</v>
      </c>
      <c r="C3" s="2" t="s">
        <v>298</v>
      </c>
      <c r="D3" s="2" t="s">
        <v>89</v>
      </c>
      <c r="E3" s="2" t="s">
        <v>13</v>
      </c>
      <c r="F3" s="12">
        <v>23100</v>
      </c>
      <c r="G3" s="3"/>
      <c r="H3" s="22">
        <f>F3*1.19+6000</f>
        <v>33489</v>
      </c>
      <c r="I3" s="22"/>
      <c r="J3" s="22">
        <f>H3/0.78</f>
        <v>42934.615384615383</v>
      </c>
    </row>
    <row r="4" spans="1:10" x14ac:dyDescent="0.3">
      <c r="A4" s="4" t="s">
        <v>26</v>
      </c>
      <c r="B4" s="4" t="s">
        <v>90</v>
      </c>
      <c r="C4" s="4" t="s">
        <v>91</v>
      </c>
      <c r="D4" s="4" t="s">
        <v>89</v>
      </c>
      <c r="E4" s="4" t="s">
        <v>13</v>
      </c>
      <c r="F4" s="13">
        <v>16680</v>
      </c>
      <c r="G4" s="5"/>
      <c r="H4" s="22">
        <f>F4*1.19+6000</f>
        <v>25849.200000000001</v>
      </c>
      <c r="I4" s="22"/>
      <c r="J4" s="22">
        <f>H4/0.78</f>
        <v>33140</v>
      </c>
    </row>
    <row r="5" spans="1:10" x14ac:dyDescent="0.3">
      <c r="A5" s="2" t="s">
        <v>26</v>
      </c>
      <c r="B5" s="2" t="s">
        <v>92</v>
      </c>
      <c r="C5" s="2" t="s">
        <v>93</v>
      </c>
      <c r="D5" s="2" t="s">
        <v>89</v>
      </c>
      <c r="E5" s="2" t="s">
        <v>13</v>
      </c>
      <c r="F5" s="12">
        <v>28160</v>
      </c>
      <c r="G5" s="3"/>
      <c r="H5" s="22">
        <f t="shared" ref="H5:H15" si="0">F5*1.19+6000</f>
        <v>39510.400000000001</v>
      </c>
      <c r="I5" s="22"/>
      <c r="J5" s="22">
        <f t="shared" ref="J5:J15" si="1">H5/0.78</f>
        <v>50654.358974358976</v>
      </c>
    </row>
    <row r="6" spans="1:10" x14ac:dyDescent="0.3">
      <c r="A6" s="4" t="s">
        <v>26</v>
      </c>
      <c r="B6" s="4" t="s">
        <v>94</v>
      </c>
      <c r="C6" s="4" t="s">
        <v>95</v>
      </c>
      <c r="D6" s="4" t="s">
        <v>89</v>
      </c>
      <c r="E6" s="4" t="s">
        <v>13</v>
      </c>
      <c r="F6" s="13">
        <v>28160</v>
      </c>
      <c r="G6" s="5"/>
      <c r="H6" s="22">
        <f t="shared" si="0"/>
        <v>39510.400000000001</v>
      </c>
      <c r="I6" s="22"/>
      <c r="J6" s="22">
        <f t="shared" si="1"/>
        <v>50654.358974358976</v>
      </c>
    </row>
    <row r="7" spans="1:10" ht="22.8" x14ac:dyDescent="0.3">
      <c r="A7" s="2" t="s">
        <v>26</v>
      </c>
      <c r="B7" s="2" t="s">
        <v>96</v>
      </c>
      <c r="C7" s="2" t="s">
        <v>97</v>
      </c>
      <c r="D7" s="2" t="s">
        <v>89</v>
      </c>
      <c r="E7" s="2" t="s">
        <v>13</v>
      </c>
      <c r="F7" s="12">
        <v>18390</v>
      </c>
      <c r="G7" s="3"/>
      <c r="H7" s="22">
        <f t="shared" si="0"/>
        <v>27884.1</v>
      </c>
      <c r="I7" s="22"/>
      <c r="J7" s="22">
        <f t="shared" si="1"/>
        <v>35748.846153846149</v>
      </c>
    </row>
    <row r="8" spans="1:10" x14ac:dyDescent="0.3">
      <c r="A8" s="4" t="s">
        <v>26</v>
      </c>
      <c r="B8" s="4" t="s">
        <v>98</v>
      </c>
      <c r="C8" s="4" t="s">
        <v>99</v>
      </c>
      <c r="D8" s="4" t="s">
        <v>89</v>
      </c>
      <c r="E8" s="4" t="s">
        <v>13</v>
      </c>
      <c r="F8" s="13">
        <v>26490</v>
      </c>
      <c r="G8" s="5"/>
      <c r="H8" s="22">
        <f t="shared" si="0"/>
        <v>37523.1</v>
      </c>
      <c r="I8" s="22"/>
      <c r="J8" s="22">
        <f t="shared" si="1"/>
        <v>48106.538461538461</v>
      </c>
    </row>
    <row r="9" spans="1:10" x14ac:dyDescent="0.3">
      <c r="A9" s="2" t="s">
        <v>43</v>
      </c>
      <c r="B9" s="2" t="s">
        <v>100</v>
      </c>
      <c r="C9" s="2" t="s">
        <v>101</v>
      </c>
      <c r="D9" s="2" t="s">
        <v>89</v>
      </c>
      <c r="E9" s="2" t="s">
        <v>13</v>
      </c>
      <c r="F9" s="12">
        <v>20020</v>
      </c>
      <c r="G9" s="3"/>
      <c r="H9" s="22">
        <f t="shared" si="0"/>
        <v>29823.8</v>
      </c>
      <c r="I9" s="22"/>
      <c r="J9" s="22">
        <f t="shared" si="1"/>
        <v>38235.641025641024</v>
      </c>
    </row>
    <row r="10" spans="1:10" x14ac:dyDescent="0.3">
      <c r="A10" s="4" t="s">
        <v>43</v>
      </c>
      <c r="B10" s="4" t="s">
        <v>102</v>
      </c>
      <c r="C10" s="4" t="s">
        <v>103</v>
      </c>
      <c r="D10" s="4" t="s">
        <v>89</v>
      </c>
      <c r="E10" s="4" t="s">
        <v>13</v>
      </c>
      <c r="F10" s="13">
        <v>20020</v>
      </c>
      <c r="G10" s="5"/>
      <c r="H10" s="22">
        <f t="shared" si="0"/>
        <v>29823.8</v>
      </c>
      <c r="I10" s="22"/>
      <c r="J10" s="22">
        <f t="shared" si="1"/>
        <v>38235.641025641024</v>
      </c>
    </row>
    <row r="11" spans="1:10" ht="22.8" x14ac:dyDescent="0.3">
      <c r="A11" s="2" t="s">
        <v>43</v>
      </c>
      <c r="B11" s="2" t="s">
        <v>104</v>
      </c>
      <c r="C11" s="2" t="s">
        <v>105</v>
      </c>
      <c r="D11" s="2" t="s">
        <v>89</v>
      </c>
      <c r="E11" s="2" t="s">
        <v>13</v>
      </c>
      <c r="F11" s="12">
        <v>18390</v>
      </c>
      <c r="G11" s="3"/>
      <c r="H11" s="22">
        <f t="shared" si="0"/>
        <v>27884.1</v>
      </c>
      <c r="I11" s="22"/>
      <c r="J11" s="22">
        <f t="shared" si="1"/>
        <v>35748.846153846149</v>
      </c>
    </row>
    <row r="12" spans="1:10" x14ac:dyDescent="0.3">
      <c r="A12" s="4" t="s">
        <v>106</v>
      </c>
      <c r="B12" s="4" t="s">
        <v>107</v>
      </c>
      <c r="C12" s="4" t="s">
        <v>108</v>
      </c>
      <c r="D12" s="4" t="s">
        <v>89</v>
      </c>
      <c r="E12" s="4" t="s">
        <v>13</v>
      </c>
      <c r="F12" s="13">
        <v>117260</v>
      </c>
      <c r="G12" s="5"/>
      <c r="H12" s="22">
        <f t="shared" si="0"/>
        <v>145539.4</v>
      </c>
      <c r="I12" s="22"/>
      <c r="J12" s="22">
        <f t="shared" si="1"/>
        <v>186588.97435897434</v>
      </c>
    </row>
    <row r="13" spans="1:10" x14ac:dyDescent="0.3">
      <c r="A13" s="2" t="s">
        <v>106</v>
      </c>
      <c r="B13" s="2" t="s">
        <v>292</v>
      </c>
      <c r="C13" s="2" t="s">
        <v>109</v>
      </c>
      <c r="D13" s="2" t="s">
        <v>89</v>
      </c>
      <c r="E13" s="2" t="s">
        <v>13</v>
      </c>
      <c r="F13" s="13">
        <v>117260</v>
      </c>
      <c r="G13" s="3"/>
      <c r="H13" s="22">
        <f t="shared" si="0"/>
        <v>145539.4</v>
      </c>
      <c r="I13" s="22"/>
      <c r="J13" s="22">
        <f t="shared" si="1"/>
        <v>186588.97435897434</v>
      </c>
    </row>
    <row r="14" spans="1:10" x14ac:dyDescent="0.3">
      <c r="A14" s="4" t="s">
        <v>57</v>
      </c>
      <c r="B14" s="4" t="s">
        <v>110</v>
      </c>
      <c r="C14" s="4" t="s">
        <v>111</v>
      </c>
      <c r="D14" s="4" t="s">
        <v>89</v>
      </c>
      <c r="E14" s="4" t="s">
        <v>13</v>
      </c>
      <c r="F14" s="13">
        <v>19980</v>
      </c>
      <c r="G14" s="5"/>
      <c r="H14" s="22">
        <f t="shared" si="0"/>
        <v>29776.2</v>
      </c>
      <c r="I14" s="22"/>
      <c r="J14" s="22">
        <f t="shared" si="1"/>
        <v>38174.615384615383</v>
      </c>
    </row>
    <row r="15" spans="1:10" x14ac:dyDescent="0.3">
      <c r="A15" s="2" t="s">
        <v>57</v>
      </c>
      <c r="B15" s="2" t="s">
        <v>112</v>
      </c>
      <c r="C15" s="2" t="s">
        <v>113</v>
      </c>
      <c r="D15" s="2" t="s">
        <v>89</v>
      </c>
      <c r="E15" s="2" t="s">
        <v>13</v>
      </c>
      <c r="F15" s="12">
        <v>63230</v>
      </c>
      <c r="G15" s="3"/>
      <c r="H15" s="22">
        <f t="shared" si="0"/>
        <v>81243.7</v>
      </c>
      <c r="I15" s="22"/>
      <c r="J15" s="22">
        <f t="shared" si="1"/>
        <v>104158.58974358974</v>
      </c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282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9</v>
      </c>
      <c r="B3" s="2" t="s">
        <v>114</v>
      </c>
      <c r="C3" s="2" t="s">
        <v>115</v>
      </c>
      <c r="D3" s="2" t="s">
        <v>116</v>
      </c>
      <c r="E3" s="2" t="s">
        <v>13</v>
      </c>
      <c r="F3" s="12">
        <v>90640</v>
      </c>
      <c r="G3" s="3"/>
      <c r="H3" s="22">
        <f>F3*1.19+6000</f>
        <v>113861.59999999999</v>
      </c>
      <c r="I3" s="22"/>
      <c r="J3" s="22">
        <f>H3/0.78</f>
        <v>145976.41025641025</v>
      </c>
    </row>
    <row r="4" spans="1:10" x14ac:dyDescent="0.3">
      <c r="A4" s="4" t="s">
        <v>9</v>
      </c>
      <c r="B4" s="4" t="s">
        <v>117</v>
      </c>
      <c r="C4" s="4" t="s">
        <v>118</v>
      </c>
      <c r="D4" s="4" t="s">
        <v>116</v>
      </c>
      <c r="E4" s="4" t="s">
        <v>13</v>
      </c>
      <c r="F4" s="13">
        <v>31280</v>
      </c>
      <c r="G4" s="5"/>
      <c r="H4" s="22">
        <f>F4*1.19+6000</f>
        <v>43223.199999999997</v>
      </c>
      <c r="I4" s="22"/>
      <c r="J4" s="22">
        <f>H4/0.78</f>
        <v>55414.358974358969</v>
      </c>
    </row>
    <row r="5" spans="1:10" x14ac:dyDescent="0.3">
      <c r="A5" s="2" t="s">
        <v>9</v>
      </c>
      <c r="B5" s="2" t="s">
        <v>119</v>
      </c>
      <c r="C5" s="2" t="s">
        <v>120</v>
      </c>
      <c r="D5" s="2" t="s">
        <v>116</v>
      </c>
      <c r="E5" s="2" t="s">
        <v>13</v>
      </c>
      <c r="F5" s="12">
        <v>28470</v>
      </c>
      <c r="G5" s="3"/>
      <c r="H5" s="22">
        <f t="shared" ref="H5:H7" si="0">F5*1.19+6000</f>
        <v>39879.299999999996</v>
      </c>
      <c r="I5" s="22"/>
      <c r="J5" s="22">
        <f t="shared" ref="J5:J7" si="1">H5/0.78</f>
        <v>51127.307692307688</v>
      </c>
    </row>
    <row r="6" spans="1:10" x14ac:dyDescent="0.3">
      <c r="A6" s="4" t="s">
        <v>26</v>
      </c>
      <c r="B6" s="4" t="s">
        <v>121</v>
      </c>
      <c r="C6" s="4" t="s">
        <v>122</v>
      </c>
      <c r="D6" s="4" t="s">
        <v>116</v>
      </c>
      <c r="E6" s="4" t="s">
        <v>13</v>
      </c>
      <c r="F6" s="13">
        <v>28470</v>
      </c>
      <c r="G6" s="5"/>
      <c r="H6" s="22">
        <f t="shared" si="0"/>
        <v>39879.299999999996</v>
      </c>
      <c r="I6" s="22"/>
      <c r="J6" s="22">
        <f t="shared" si="1"/>
        <v>51127.307692307688</v>
      </c>
    </row>
    <row r="7" spans="1:10" x14ac:dyDescent="0.3">
      <c r="A7" s="2" t="s">
        <v>57</v>
      </c>
      <c r="B7" s="18" t="s">
        <v>297</v>
      </c>
      <c r="C7" s="2" t="s">
        <v>123</v>
      </c>
      <c r="D7" s="2" t="s">
        <v>116</v>
      </c>
      <c r="E7" s="2" t="s">
        <v>13</v>
      </c>
      <c r="F7" s="12">
        <v>90640</v>
      </c>
      <c r="G7" s="3"/>
      <c r="H7" s="22">
        <f t="shared" si="0"/>
        <v>113861.59999999999</v>
      </c>
      <c r="I7" s="22"/>
      <c r="J7" s="22">
        <f t="shared" si="1"/>
        <v>145976.41025641025</v>
      </c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283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26</v>
      </c>
      <c r="B3" s="2" t="s">
        <v>124</v>
      </c>
      <c r="C3" s="2" t="s">
        <v>125</v>
      </c>
      <c r="D3" s="2" t="s">
        <v>126</v>
      </c>
      <c r="E3" s="2" t="s">
        <v>13</v>
      </c>
      <c r="F3" s="12">
        <v>22040</v>
      </c>
      <c r="G3" s="3"/>
      <c r="H3" s="22">
        <f>F3*1.19+6000</f>
        <v>32227.599999999999</v>
      </c>
      <c r="I3" s="22"/>
      <c r="J3" s="22">
        <f>H3/0.78</f>
        <v>41317.435897435891</v>
      </c>
    </row>
    <row r="4" spans="1:10" x14ac:dyDescent="0.3">
      <c r="A4" s="4" t="s">
        <v>57</v>
      </c>
      <c r="B4" s="4" t="s">
        <v>127</v>
      </c>
      <c r="C4" s="4" t="s">
        <v>128</v>
      </c>
      <c r="D4" s="4" t="s">
        <v>126</v>
      </c>
      <c r="E4" s="4" t="s">
        <v>13</v>
      </c>
      <c r="F4" s="13">
        <v>19840</v>
      </c>
      <c r="G4" s="5"/>
      <c r="H4" s="22">
        <f>F4*1.19+6000</f>
        <v>29609.599999999999</v>
      </c>
      <c r="I4" s="22"/>
      <c r="J4" s="22">
        <f>H4/0.78</f>
        <v>37961.025641025641</v>
      </c>
    </row>
    <row r="5" spans="1:10" x14ac:dyDescent="0.3">
      <c r="H5"/>
      <c r="I5"/>
      <c r="J5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style="26" customWidth="1"/>
    <col min="2" max="2" width="18" style="26" customWidth="1"/>
    <col min="3" max="3" width="52" style="26" customWidth="1"/>
    <col min="4" max="4" width="22" style="26" customWidth="1"/>
    <col min="5" max="5" width="12" style="26" customWidth="1"/>
    <col min="6" max="7" width="22" style="26" customWidth="1"/>
    <col min="8" max="8" width="22" style="25" customWidth="1"/>
    <col min="9" max="9" width="15.44140625" style="25" customWidth="1"/>
    <col min="10" max="10" width="14.33203125" style="25" customWidth="1"/>
    <col min="11" max="16384" width="9.109375" style="26"/>
  </cols>
  <sheetData>
    <row r="1" spans="1:10" ht="27.9" customHeight="1" x14ac:dyDescent="0.3">
      <c r="A1" s="33" t="s">
        <v>284</v>
      </c>
      <c r="B1" s="37"/>
      <c r="C1" s="37"/>
      <c r="D1" s="37"/>
      <c r="E1" s="37"/>
      <c r="F1" s="37"/>
      <c r="G1" s="37"/>
      <c r="H1" s="37"/>
    </row>
    <row r="2" spans="1:10" ht="30" customHeight="1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0" t="s">
        <v>306</v>
      </c>
      <c r="I2" s="20"/>
      <c r="J2" s="20" t="s">
        <v>305</v>
      </c>
    </row>
    <row r="3" spans="1:10" x14ac:dyDescent="0.3">
      <c r="A3" s="27" t="s">
        <v>9</v>
      </c>
      <c r="B3" s="27" t="s">
        <v>129</v>
      </c>
      <c r="C3" s="27" t="s">
        <v>130</v>
      </c>
      <c r="D3" s="27" t="s">
        <v>131</v>
      </c>
      <c r="E3" s="27" t="s">
        <v>13</v>
      </c>
      <c r="F3" s="22">
        <v>26360</v>
      </c>
      <c r="G3" s="22"/>
      <c r="H3" s="22">
        <f>F3*1.19+6000</f>
        <v>37368.399999999994</v>
      </c>
      <c r="I3" s="22"/>
      <c r="J3" s="22">
        <f>H3/0.78</f>
        <v>47908.205128205118</v>
      </c>
    </row>
    <row r="4" spans="1:10" x14ac:dyDescent="0.3">
      <c r="A4" s="28" t="s">
        <v>9</v>
      </c>
      <c r="B4" s="28" t="s">
        <v>132</v>
      </c>
      <c r="C4" s="28" t="s">
        <v>133</v>
      </c>
      <c r="D4" s="28" t="s">
        <v>131</v>
      </c>
      <c r="E4" s="28" t="s">
        <v>13</v>
      </c>
      <c r="F4" s="24">
        <v>35110</v>
      </c>
      <c r="G4" s="24"/>
      <c r="H4" s="22">
        <f>F4*1.19+6000</f>
        <v>47780.9</v>
      </c>
      <c r="I4" s="22"/>
      <c r="J4" s="22">
        <f>H4/0.78</f>
        <v>61257.564102564102</v>
      </c>
    </row>
    <row r="5" spans="1:10" x14ac:dyDescent="0.3">
      <c r="A5" s="27" t="s">
        <v>9</v>
      </c>
      <c r="B5" s="27" t="s">
        <v>302</v>
      </c>
      <c r="C5" s="29" t="s">
        <v>301</v>
      </c>
      <c r="D5" s="27" t="s">
        <v>131</v>
      </c>
      <c r="E5" s="27" t="s">
        <v>13</v>
      </c>
      <c r="F5" s="22">
        <v>24990</v>
      </c>
      <c r="G5" s="22"/>
      <c r="H5" s="22">
        <f t="shared" ref="H5:H12" si="0">F5*1.19+6000</f>
        <v>35738.1</v>
      </c>
      <c r="I5" s="22"/>
      <c r="J5" s="22">
        <f t="shared" ref="J5:J12" si="1">H5/0.78</f>
        <v>45818.076923076922</v>
      </c>
    </row>
    <row r="6" spans="1:10" x14ac:dyDescent="0.3">
      <c r="A6" s="28" t="s">
        <v>26</v>
      </c>
      <c r="B6" s="28" t="s">
        <v>134</v>
      </c>
      <c r="C6" s="28" t="s">
        <v>135</v>
      </c>
      <c r="D6" s="28" t="s">
        <v>131</v>
      </c>
      <c r="E6" s="28" t="s">
        <v>13</v>
      </c>
      <c r="F6" s="24">
        <v>33700</v>
      </c>
      <c r="G6" s="24"/>
      <c r="H6" s="22">
        <f t="shared" si="0"/>
        <v>46103</v>
      </c>
      <c r="I6" s="22"/>
      <c r="J6" s="22">
        <f t="shared" si="1"/>
        <v>59106.410256410258</v>
      </c>
    </row>
    <row r="7" spans="1:10" x14ac:dyDescent="0.3">
      <c r="A7" s="27" t="s">
        <v>43</v>
      </c>
      <c r="B7" s="27" t="s">
        <v>136</v>
      </c>
      <c r="C7" s="27" t="s">
        <v>137</v>
      </c>
      <c r="D7" s="27" t="s">
        <v>131</v>
      </c>
      <c r="E7" s="27" t="s">
        <v>13</v>
      </c>
      <c r="F7" s="22">
        <v>20150</v>
      </c>
      <c r="G7" s="22"/>
      <c r="H7" s="22">
        <f t="shared" si="0"/>
        <v>29978.5</v>
      </c>
      <c r="I7" s="22"/>
      <c r="J7" s="22">
        <f t="shared" si="1"/>
        <v>38433.974358974359</v>
      </c>
    </row>
    <row r="8" spans="1:10" x14ac:dyDescent="0.3">
      <c r="A8" s="28" t="s">
        <v>43</v>
      </c>
      <c r="B8" s="28" t="s">
        <v>138</v>
      </c>
      <c r="C8" s="28" t="s">
        <v>139</v>
      </c>
      <c r="D8" s="28" t="s">
        <v>131</v>
      </c>
      <c r="E8" s="28" t="s">
        <v>13</v>
      </c>
      <c r="F8" s="24">
        <v>21380</v>
      </c>
      <c r="G8" s="24"/>
      <c r="H8" s="22">
        <f t="shared" si="0"/>
        <v>31442.199999999997</v>
      </c>
      <c r="I8" s="22"/>
      <c r="J8" s="22">
        <f t="shared" si="1"/>
        <v>40310.512820512813</v>
      </c>
    </row>
    <row r="9" spans="1:10" x14ac:dyDescent="0.3">
      <c r="A9" s="27" t="s">
        <v>43</v>
      </c>
      <c r="B9" s="27" t="s">
        <v>140</v>
      </c>
      <c r="C9" s="27" t="s">
        <v>141</v>
      </c>
      <c r="D9" s="27" t="s">
        <v>131</v>
      </c>
      <c r="E9" s="27" t="s">
        <v>13</v>
      </c>
      <c r="F9" s="22">
        <v>25430</v>
      </c>
      <c r="G9" s="22"/>
      <c r="H9" s="22">
        <f t="shared" si="0"/>
        <v>36261.699999999997</v>
      </c>
      <c r="I9" s="22"/>
      <c r="J9" s="22">
        <f t="shared" si="1"/>
        <v>46489.358974358969</v>
      </c>
    </row>
    <row r="10" spans="1:10" x14ac:dyDescent="0.3">
      <c r="A10" s="28" t="s">
        <v>52</v>
      </c>
      <c r="B10" s="28" t="s">
        <v>142</v>
      </c>
      <c r="C10" s="28" t="s">
        <v>143</v>
      </c>
      <c r="D10" s="28" t="s">
        <v>131</v>
      </c>
      <c r="E10" s="28" t="s">
        <v>13</v>
      </c>
      <c r="F10" s="24">
        <v>23540</v>
      </c>
      <c r="G10" s="24"/>
      <c r="H10" s="22">
        <f t="shared" si="0"/>
        <v>34012.6</v>
      </c>
      <c r="I10" s="22"/>
      <c r="J10" s="22">
        <f t="shared" si="1"/>
        <v>43605.89743589743</v>
      </c>
    </row>
    <row r="11" spans="1:10" x14ac:dyDescent="0.3">
      <c r="A11" s="27" t="s">
        <v>52</v>
      </c>
      <c r="B11" s="27" t="s">
        <v>144</v>
      </c>
      <c r="C11" s="27" t="s">
        <v>145</v>
      </c>
      <c r="D11" s="27" t="s">
        <v>131</v>
      </c>
      <c r="E11" s="27" t="s">
        <v>13</v>
      </c>
      <c r="F11" s="22">
        <v>23540</v>
      </c>
      <c r="G11" s="22"/>
      <c r="H11" s="22">
        <f t="shared" si="0"/>
        <v>34012.6</v>
      </c>
      <c r="I11" s="22"/>
      <c r="J11" s="22">
        <f t="shared" si="1"/>
        <v>43605.89743589743</v>
      </c>
    </row>
    <row r="12" spans="1:10" x14ac:dyDescent="0.3">
      <c r="A12" s="28" t="s">
        <v>52</v>
      </c>
      <c r="B12" s="28" t="s">
        <v>146</v>
      </c>
      <c r="C12" s="28" t="s">
        <v>147</v>
      </c>
      <c r="D12" s="28" t="s">
        <v>131</v>
      </c>
      <c r="E12" s="28" t="s">
        <v>13</v>
      </c>
      <c r="F12" s="24">
        <v>119330</v>
      </c>
      <c r="G12" s="24"/>
      <c r="H12" s="22">
        <f t="shared" si="0"/>
        <v>148002.69999999998</v>
      </c>
      <c r="I12" s="22"/>
      <c r="J12" s="22">
        <f t="shared" si="1"/>
        <v>189747.05128205125</v>
      </c>
    </row>
    <row r="13" spans="1:10" x14ac:dyDescent="0.3">
      <c r="A13" s="27" t="s">
        <v>243</v>
      </c>
      <c r="B13" s="27" t="s">
        <v>271</v>
      </c>
      <c r="C13" s="27" t="s">
        <v>272</v>
      </c>
      <c r="D13" s="27" t="s">
        <v>131</v>
      </c>
      <c r="E13" s="27" t="s">
        <v>246</v>
      </c>
      <c r="F13" s="27"/>
      <c r="G13" s="22">
        <v>90756.31</v>
      </c>
      <c r="H13" s="22">
        <f>G13*1.19+6000</f>
        <v>114000.00889999999</v>
      </c>
      <c r="I13" s="22"/>
      <c r="J13" s="22">
        <f t="shared" ref="J13:J14" si="2">H13/0.78</f>
        <v>146153.85756410254</v>
      </c>
    </row>
    <row r="14" spans="1:10" x14ac:dyDescent="0.3">
      <c r="A14" s="28" t="s">
        <v>243</v>
      </c>
      <c r="B14" s="28" t="s">
        <v>273</v>
      </c>
      <c r="C14" s="28" t="s">
        <v>274</v>
      </c>
      <c r="D14" s="28" t="s">
        <v>131</v>
      </c>
      <c r="E14" s="28" t="s">
        <v>246</v>
      </c>
      <c r="F14" s="28"/>
      <c r="G14" s="24">
        <v>90756.31</v>
      </c>
      <c r="H14" s="22">
        <f>G14*1.19+6000</f>
        <v>114000.00889999999</v>
      </c>
      <c r="I14" s="22"/>
      <c r="J14" s="22">
        <f t="shared" si="2"/>
        <v>146153.85756410254</v>
      </c>
    </row>
    <row r="15" spans="1:10" x14ac:dyDescent="0.3">
      <c r="A15" s="27" t="s">
        <v>9</v>
      </c>
      <c r="B15" s="27" t="s">
        <v>148</v>
      </c>
      <c r="C15" s="27" t="s">
        <v>149</v>
      </c>
      <c r="D15" s="29" t="s">
        <v>300</v>
      </c>
      <c r="E15" s="27" t="s">
        <v>13</v>
      </c>
      <c r="F15" s="22">
        <v>119330</v>
      </c>
      <c r="G15" s="22"/>
      <c r="H15" s="22">
        <f t="shared" ref="H15" si="3">F15*1.19+6000</f>
        <v>148002.69999999998</v>
      </c>
      <c r="I15" s="22"/>
      <c r="J15" s="22">
        <f t="shared" ref="J15" si="4">H15/0.78</f>
        <v>189747.05128205125</v>
      </c>
    </row>
    <row r="16" spans="1:10" x14ac:dyDescent="0.3">
      <c r="H16" s="26"/>
      <c r="I16" s="26"/>
      <c r="J16" s="26"/>
    </row>
    <row r="17" s="26" customFormat="1" x14ac:dyDescent="0.3"/>
    <row r="18" s="26" customFormat="1" x14ac:dyDescent="0.3"/>
    <row r="19" s="26" customFormat="1" x14ac:dyDescent="0.3"/>
    <row r="20" s="26" customFormat="1" x14ac:dyDescent="0.3"/>
    <row r="21" s="26" customFormat="1" x14ac:dyDescent="0.3"/>
    <row r="22" s="26" customFormat="1" x14ac:dyDescent="0.3"/>
    <row r="23" s="26" customFormat="1" x14ac:dyDescent="0.3"/>
    <row r="24" s="26" customFormat="1" x14ac:dyDescent="0.3"/>
    <row r="25" s="26" customFormat="1" x14ac:dyDescent="0.3"/>
    <row r="26" s="26" customFormat="1" x14ac:dyDescent="0.3"/>
    <row r="27" s="26" customFormat="1" x14ac:dyDescent="0.3"/>
    <row r="28" s="26" customFormat="1" x14ac:dyDescent="0.3"/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285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9</v>
      </c>
      <c r="B3" s="2" t="s">
        <v>151</v>
      </c>
      <c r="C3" s="2" t="s">
        <v>152</v>
      </c>
      <c r="D3" s="2" t="s">
        <v>153</v>
      </c>
      <c r="E3" s="2" t="s">
        <v>13</v>
      </c>
      <c r="F3" s="12">
        <v>24820</v>
      </c>
      <c r="G3" s="3"/>
      <c r="H3" s="22">
        <f>F3*1.19+6000</f>
        <v>35535.800000000003</v>
      </c>
      <c r="I3" s="22"/>
      <c r="J3" s="22">
        <f>H3/0.78</f>
        <v>45558.717948717953</v>
      </c>
    </row>
    <row r="4" spans="1:10" x14ac:dyDescent="0.3">
      <c r="A4" s="4" t="s">
        <v>9</v>
      </c>
      <c r="B4" s="19" t="s">
        <v>303</v>
      </c>
      <c r="C4" s="4" t="s">
        <v>154</v>
      </c>
      <c r="D4" s="4" t="s">
        <v>153</v>
      </c>
      <c r="E4" s="4" t="s">
        <v>13</v>
      </c>
      <c r="F4" s="12">
        <v>38590</v>
      </c>
      <c r="G4" s="5"/>
      <c r="H4" s="22">
        <f>F4*1.19+6000</f>
        <v>51922.1</v>
      </c>
      <c r="I4" s="22"/>
      <c r="J4" s="22">
        <f>H4/0.78</f>
        <v>66566.794871794875</v>
      </c>
    </row>
    <row r="5" spans="1:10" x14ac:dyDescent="0.3">
      <c r="A5" s="2" t="s">
        <v>9</v>
      </c>
      <c r="B5" s="2" t="s">
        <v>155</v>
      </c>
      <c r="C5" s="2" t="s">
        <v>156</v>
      </c>
      <c r="D5" s="2" t="s">
        <v>153</v>
      </c>
      <c r="E5" s="2" t="s">
        <v>13</v>
      </c>
      <c r="F5" s="12">
        <v>35680</v>
      </c>
      <c r="G5" s="3"/>
      <c r="H5" s="22">
        <f t="shared" ref="H5:H7" si="0">F5*1.19+6000</f>
        <v>48459.199999999997</v>
      </c>
      <c r="I5" s="22"/>
      <c r="J5" s="22">
        <f t="shared" ref="J5:J7" si="1">H5/0.78</f>
        <v>62127.179487179485</v>
      </c>
    </row>
    <row r="6" spans="1:10" x14ac:dyDescent="0.3">
      <c r="A6" s="4" t="s">
        <v>26</v>
      </c>
      <c r="B6" s="4" t="s">
        <v>157</v>
      </c>
      <c r="C6" s="4" t="s">
        <v>158</v>
      </c>
      <c r="D6" s="4" t="s">
        <v>153</v>
      </c>
      <c r="E6" s="4" t="s">
        <v>13</v>
      </c>
      <c r="F6" s="13">
        <v>34800</v>
      </c>
      <c r="G6" s="5"/>
      <c r="H6" s="22">
        <f t="shared" si="0"/>
        <v>47412</v>
      </c>
      <c r="I6" s="22"/>
      <c r="J6" s="22">
        <f t="shared" si="1"/>
        <v>60784.615384615383</v>
      </c>
    </row>
    <row r="7" spans="1:10" x14ac:dyDescent="0.3">
      <c r="A7" s="2" t="s">
        <v>43</v>
      </c>
      <c r="B7" s="2" t="s">
        <v>159</v>
      </c>
      <c r="C7" s="2" t="s">
        <v>160</v>
      </c>
      <c r="D7" s="2" t="s">
        <v>153</v>
      </c>
      <c r="E7" s="2" t="s">
        <v>13</v>
      </c>
      <c r="F7" s="12">
        <v>20720</v>
      </c>
      <c r="G7" s="3"/>
      <c r="H7" s="22">
        <f t="shared" si="0"/>
        <v>30656.799999999999</v>
      </c>
      <c r="I7" s="22"/>
      <c r="J7" s="22">
        <f t="shared" si="1"/>
        <v>39303.589743589742</v>
      </c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286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ht="22.8" x14ac:dyDescent="0.3">
      <c r="A3" s="2" t="s">
        <v>43</v>
      </c>
      <c r="B3" s="2" t="s">
        <v>161</v>
      </c>
      <c r="C3" s="2" t="s">
        <v>162</v>
      </c>
      <c r="D3" s="2" t="s">
        <v>163</v>
      </c>
      <c r="E3" s="2" t="s">
        <v>13</v>
      </c>
      <c r="F3" s="12">
        <v>27020</v>
      </c>
      <c r="G3" s="3"/>
      <c r="H3" s="22">
        <f>F3*1.19+6000</f>
        <v>38153.800000000003</v>
      </c>
      <c r="I3" s="22"/>
      <c r="J3" s="22">
        <f>H3/0.78</f>
        <v>48915.128205128211</v>
      </c>
    </row>
    <row r="4" spans="1:10" x14ac:dyDescent="0.3">
      <c r="H4"/>
      <c r="I4"/>
      <c r="J4"/>
    </row>
    <row r="5" spans="1:10" x14ac:dyDescent="0.3">
      <c r="H5"/>
      <c r="I5"/>
      <c r="J5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287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9</v>
      </c>
      <c r="B3" s="2" t="s">
        <v>164</v>
      </c>
      <c r="C3" s="2" t="s">
        <v>165</v>
      </c>
      <c r="D3" s="2" t="s">
        <v>166</v>
      </c>
      <c r="E3" s="2" t="s">
        <v>13</v>
      </c>
      <c r="F3" s="12">
        <v>26220</v>
      </c>
      <c r="G3" s="3"/>
      <c r="H3" s="22">
        <f>F3*1.19+6000</f>
        <v>37201.800000000003</v>
      </c>
      <c r="I3" s="22"/>
      <c r="J3" s="22">
        <f>H3/0.78</f>
        <v>47694.61538461539</v>
      </c>
    </row>
    <row r="4" spans="1:10" x14ac:dyDescent="0.3">
      <c r="A4" s="4" t="s">
        <v>9</v>
      </c>
      <c r="B4" s="4" t="s">
        <v>167</v>
      </c>
      <c r="C4" s="4" t="s">
        <v>168</v>
      </c>
      <c r="D4" s="4" t="s">
        <v>166</v>
      </c>
      <c r="E4" s="4" t="s">
        <v>13</v>
      </c>
      <c r="F4" s="13">
        <v>38630</v>
      </c>
      <c r="G4" s="5"/>
      <c r="H4" s="22">
        <f>F4*1.19+6000</f>
        <v>51969.7</v>
      </c>
      <c r="I4" s="22"/>
      <c r="J4" s="22">
        <f>H4/0.78</f>
        <v>66627.820512820501</v>
      </c>
    </row>
    <row r="5" spans="1:10" x14ac:dyDescent="0.3">
      <c r="A5" s="2" t="s">
        <v>9</v>
      </c>
      <c r="B5" s="2" t="s">
        <v>169</v>
      </c>
      <c r="C5" s="2" t="s">
        <v>170</v>
      </c>
      <c r="D5" s="2" t="s">
        <v>166</v>
      </c>
      <c r="E5" s="2" t="s">
        <v>13</v>
      </c>
      <c r="F5" s="12">
        <v>28950</v>
      </c>
      <c r="G5" s="3"/>
      <c r="H5" s="22">
        <f t="shared" ref="H5:H6" si="0">F5*1.19+6000</f>
        <v>40450.5</v>
      </c>
      <c r="I5" s="22"/>
      <c r="J5" s="22">
        <f t="shared" ref="J5:J6" si="1">H5/0.78</f>
        <v>51859.615384615383</v>
      </c>
    </row>
    <row r="6" spans="1:10" x14ac:dyDescent="0.3">
      <c r="A6" s="4" t="s">
        <v>9</v>
      </c>
      <c r="B6" s="4" t="s">
        <v>171</v>
      </c>
      <c r="C6" s="4" t="s">
        <v>172</v>
      </c>
      <c r="D6" s="4" t="s">
        <v>166</v>
      </c>
      <c r="E6" s="4" t="s">
        <v>13</v>
      </c>
      <c r="F6" s="13">
        <v>28950</v>
      </c>
      <c r="G6" s="5"/>
      <c r="H6" s="22">
        <f t="shared" si="0"/>
        <v>40450.5</v>
      </c>
      <c r="I6" s="22"/>
      <c r="J6" s="22">
        <f t="shared" si="1"/>
        <v>51859.615384615383</v>
      </c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7"/>
  <sheetViews>
    <sheetView workbookViewId="0">
      <pane ySplit="2" topLeftCell="A15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style="26" customWidth="1"/>
    <col min="2" max="2" width="18" style="26" customWidth="1"/>
    <col min="3" max="3" width="52" style="26" customWidth="1"/>
    <col min="4" max="4" width="22" style="26" customWidth="1"/>
    <col min="5" max="5" width="12" style="26" customWidth="1"/>
    <col min="6" max="7" width="22" style="26" customWidth="1"/>
    <col min="8" max="8" width="22" style="25" customWidth="1"/>
    <col min="9" max="9" width="15.44140625" style="25" customWidth="1"/>
    <col min="10" max="10" width="14.33203125" style="25" customWidth="1"/>
    <col min="11" max="16384" width="9.109375" style="26"/>
  </cols>
  <sheetData>
    <row r="1" spans="1:10" ht="27.9" customHeight="1" x14ac:dyDescent="0.3">
      <c r="A1" s="33" t="s">
        <v>288</v>
      </c>
      <c r="B1" s="37"/>
      <c r="C1" s="37"/>
      <c r="D1" s="37"/>
      <c r="E1" s="37"/>
      <c r="F1" s="37"/>
      <c r="G1" s="37"/>
      <c r="H1" s="37"/>
    </row>
    <row r="2" spans="1:10" ht="30" customHeight="1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0" t="s">
        <v>306</v>
      </c>
      <c r="I2" s="20"/>
      <c r="J2" s="20" t="s">
        <v>305</v>
      </c>
    </row>
    <row r="3" spans="1:10" x14ac:dyDescent="0.3">
      <c r="A3" s="27" t="s">
        <v>9</v>
      </c>
      <c r="B3" s="27" t="s">
        <v>173</v>
      </c>
      <c r="C3" s="27" t="s">
        <v>174</v>
      </c>
      <c r="D3" s="27" t="s">
        <v>175</v>
      </c>
      <c r="E3" s="27" t="s">
        <v>13</v>
      </c>
      <c r="F3" s="22">
        <v>129320</v>
      </c>
      <c r="G3" s="22"/>
      <c r="H3" s="22">
        <f>F3*1.19+6000</f>
        <v>159890.79999999999</v>
      </c>
      <c r="I3" s="22"/>
      <c r="J3" s="22">
        <f>H3/0.78</f>
        <v>204988.2051282051</v>
      </c>
    </row>
    <row r="4" spans="1:10" x14ac:dyDescent="0.3">
      <c r="A4" s="28" t="s">
        <v>9</v>
      </c>
      <c r="B4" s="28" t="s">
        <v>176</v>
      </c>
      <c r="C4" s="28" t="s">
        <v>177</v>
      </c>
      <c r="D4" s="28" t="s">
        <v>175</v>
      </c>
      <c r="E4" s="28" t="s">
        <v>13</v>
      </c>
      <c r="F4" s="24">
        <v>18570</v>
      </c>
      <c r="G4" s="24"/>
      <c r="H4" s="22">
        <f t="shared" ref="H4:H27" si="0">F4*1.19+6000</f>
        <v>28098.3</v>
      </c>
      <c r="I4" s="22"/>
      <c r="J4" s="22">
        <f t="shared" ref="J4:J28" si="1">H4/0.78</f>
        <v>36023.461538461539</v>
      </c>
    </row>
    <row r="5" spans="1:10" x14ac:dyDescent="0.3">
      <c r="A5" s="27" t="s">
        <v>9</v>
      </c>
      <c r="B5" s="27" t="s">
        <v>178</v>
      </c>
      <c r="C5" s="27" t="s">
        <v>179</v>
      </c>
      <c r="D5" s="27" t="s">
        <v>175</v>
      </c>
      <c r="E5" s="27" t="s">
        <v>13</v>
      </c>
      <c r="F5" s="22">
        <v>23010</v>
      </c>
      <c r="G5" s="22"/>
      <c r="H5" s="22">
        <f t="shared" si="0"/>
        <v>33381.899999999994</v>
      </c>
      <c r="I5" s="22"/>
      <c r="J5" s="22">
        <f t="shared" si="1"/>
        <v>42797.307692307681</v>
      </c>
    </row>
    <row r="6" spans="1:10" x14ac:dyDescent="0.3">
      <c r="A6" s="28" t="s">
        <v>9</v>
      </c>
      <c r="B6" s="28" t="s">
        <v>180</v>
      </c>
      <c r="C6" s="28" t="s">
        <v>181</v>
      </c>
      <c r="D6" s="28" t="s">
        <v>175</v>
      </c>
      <c r="E6" s="28" t="s">
        <v>13</v>
      </c>
      <c r="F6" s="24">
        <v>27630</v>
      </c>
      <c r="G6" s="24"/>
      <c r="H6" s="22">
        <f t="shared" si="0"/>
        <v>38879.699999999997</v>
      </c>
      <c r="I6" s="22"/>
      <c r="J6" s="22">
        <f t="shared" si="1"/>
        <v>49845.769230769227</v>
      </c>
    </row>
    <row r="7" spans="1:10" x14ac:dyDescent="0.3">
      <c r="A7" s="27" t="s">
        <v>9</v>
      </c>
      <c r="B7" s="27" t="s">
        <v>182</v>
      </c>
      <c r="C7" s="27" t="s">
        <v>183</v>
      </c>
      <c r="D7" s="27" t="s">
        <v>175</v>
      </c>
      <c r="E7" s="27" t="s">
        <v>13</v>
      </c>
      <c r="F7" s="22">
        <v>21870</v>
      </c>
      <c r="G7" s="22"/>
      <c r="H7" s="22">
        <f t="shared" si="0"/>
        <v>32025.3</v>
      </c>
      <c r="I7" s="22"/>
      <c r="J7" s="22">
        <f t="shared" si="1"/>
        <v>41058.076923076922</v>
      </c>
    </row>
    <row r="8" spans="1:10" x14ac:dyDescent="0.3">
      <c r="A8" s="28" t="s">
        <v>9</v>
      </c>
      <c r="B8" s="28" t="s">
        <v>184</v>
      </c>
      <c r="C8" s="28" t="s">
        <v>185</v>
      </c>
      <c r="D8" s="28" t="s">
        <v>175</v>
      </c>
      <c r="E8" s="28" t="s">
        <v>13</v>
      </c>
      <c r="F8" s="24">
        <v>36040</v>
      </c>
      <c r="G8" s="24"/>
      <c r="H8" s="22">
        <f t="shared" si="0"/>
        <v>48887.6</v>
      </c>
      <c r="I8" s="22"/>
      <c r="J8" s="22">
        <f t="shared" si="1"/>
        <v>62676.41025641025</v>
      </c>
    </row>
    <row r="9" spans="1:10" x14ac:dyDescent="0.3">
      <c r="A9" s="27" t="s">
        <v>9</v>
      </c>
      <c r="B9" s="27" t="s">
        <v>186</v>
      </c>
      <c r="C9" s="27" t="s">
        <v>187</v>
      </c>
      <c r="D9" s="27" t="s">
        <v>175</v>
      </c>
      <c r="E9" s="27" t="s">
        <v>13</v>
      </c>
      <c r="F9" s="22">
        <v>36040</v>
      </c>
      <c r="G9" s="22"/>
      <c r="H9" s="22">
        <f t="shared" si="0"/>
        <v>48887.6</v>
      </c>
      <c r="I9" s="22"/>
      <c r="J9" s="22">
        <f t="shared" si="1"/>
        <v>62676.41025641025</v>
      </c>
    </row>
    <row r="10" spans="1:10" x14ac:dyDescent="0.3">
      <c r="A10" s="28" t="s">
        <v>26</v>
      </c>
      <c r="B10" s="28" t="s">
        <v>188</v>
      </c>
      <c r="C10" s="28" t="s">
        <v>189</v>
      </c>
      <c r="D10" s="28" t="s">
        <v>175</v>
      </c>
      <c r="E10" s="28" t="s">
        <v>13</v>
      </c>
      <c r="F10" s="24">
        <v>34630</v>
      </c>
      <c r="G10" s="24"/>
      <c r="H10" s="22">
        <f t="shared" si="0"/>
        <v>47209.7</v>
      </c>
      <c r="I10" s="22"/>
      <c r="J10" s="22">
        <f t="shared" si="1"/>
        <v>60525.256410256407</v>
      </c>
    </row>
    <row r="11" spans="1:10" x14ac:dyDescent="0.3">
      <c r="A11" s="27" t="s">
        <v>26</v>
      </c>
      <c r="B11" s="27" t="s">
        <v>190</v>
      </c>
      <c r="C11" s="27" t="s">
        <v>191</v>
      </c>
      <c r="D11" s="27" t="s">
        <v>175</v>
      </c>
      <c r="E11" s="27" t="s">
        <v>13</v>
      </c>
      <c r="F11" s="22">
        <v>27100</v>
      </c>
      <c r="G11" s="22"/>
      <c r="H11" s="22">
        <f t="shared" si="0"/>
        <v>38249</v>
      </c>
      <c r="I11" s="22"/>
      <c r="J11" s="22">
        <f t="shared" si="1"/>
        <v>49037.179487179485</v>
      </c>
    </row>
    <row r="12" spans="1:10" x14ac:dyDescent="0.3">
      <c r="A12" s="28" t="s">
        <v>26</v>
      </c>
      <c r="B12" s="28" t="s">
        <v>192</v>
      </c>
      <c r="C12" s="28" t="s">
        <v>193</v>
      </c>
      <c r="D12" s="28" t="s">
        <v>175</v>
      </c>
      <c r="E12" s="28" t="s">
        <v>13</v>
      </c>
      <c r="F12" s="24">
        <v>37360</v>
      </c>
      <c r="G12" s="24"/>
      <c r="H12" s="22">
        <f t="shared" si="0"/>
        <v>50458.400000000001</v>
      </c>
      <c r="I12" s="22"/>
      <c r="J12" s="22">
        <f t="shared" si="1"/>
        <v>64690.256410256407</v>
      </c>
    </row>
    <row r="13" spans="1:10" x14ac:dyDescent="0.3">
      <c r="A13" s="27" t="s">
        <v>26</v>
      </c>
      <c r="B13" s="27" t="s">
        <v>194</v>
      </c>
      <c r="C13" s="27" t="s">
        <v>195</v>
      </c>
      <c r="D13" s="27" t="s">
        <v>175</v>
      </c>
      <c r="E13" s="27" t="s">
        <v>13</v>
      </c>
      <c r="F13" s="22">
        <v>26270</v>
      </c>
      <c r="G13" s="22"/>
      <c r="H13" s="22">
        <f t="shared" si="0"/>
        <v>37261.300000000003</v>
      </c>
      <c r="I13" s="22"/>
      <c r="J13" s="22">
        <f t="shared" si="1"/>
        <v>47770.897435897437</v>
      </c>
    </row>
    <row r="14" spans="1:10" x14ac:dyDescent="0.3">
      <c r="A14" s="28" t="s">
        <v>26</v>
      </c>
      <c r="B14" s="28" t="s">
        <v>196</v>
      </c>
      <c r="C14" s="28" t="s">
        <v>197</v>
      </c>
      <c r="D14" s="28" t="s">
        <v>175</v>
      </c>
      <c r="E14" s="28" t="s">
        <v>13</v>
      </c>
      <c r="F14" s="24">
        <v>37360</v>
      </c>
      <c r="G14" s="24"/>
      <c r="H14" s="22">
        <f t="shared" si="0"/>
        <v>50458.400000000001</v>
      </c>
      <c r="I14" s="22"/>
      <c r="J14" s="22">
        <f t="shared" si="1"/>
        <v>64690.256410256407</v>
      </c>
    </row>
    <row r="15" spans="1:10" x14ac:dyDescent="0.3">
      <c r="A15" s="27" t="s">
        <v>26</v>
      </c>
      <c r="B15" s="27" t="s">
        <v>198</v>
      </c>
      <c r="C15" s="27" t="s">
        <v>199</v>
      </c>
      <c r="D15" s="27" t="s">
        <v>175</v>
      </c>
      <c r="E15" s="27" t="s">
        <v>13</v>
      </c>
      <c r="F15" s="22">
        <v>22220</v>
      </c>
      <c r="G15" s="22"/>
      <c r="H15" s="22">
        <f t="shared" si="0"/>
        <v>32441.8</v>
      </c>
      <c r="I15" s="22"/>
      <c r="J15" s="22">
        <f t="shared" si="1"/>
        <v>41592.051282051281</v>
      </c>
    </row>
    <row r="16" spans="1:10" x14ac:dyDescent="0.3">
      <c r="A16" s="28" t="s">
        <v>26</v>
      </c>
      <c r="B16" s="28" t="s">
        <v>200</v>
      </c>
      <c r="C16" s="28" t="s">
        <v>201</v>
      </c>
      <c r="D16" s="28" t="s">
        <v>175</v>
      </c>
      <c r="E16" s="28" t="s">
        <v>13</v>
      </c>
      <c r="F16" s="24">
        <v>26270</v>
      </c>
      <c r="G16" s="24"/>
      <c r="H16" s="22">
        <f t="shared" si="0"/>
        <v>37261.300000000003</v>
      </c>
      <c r="I16" s="22"/>
      <c r="J16" s="22">
        <f t="shared" si="1"/>
        <v>47770.897435897437</v>
      </c>
    </row>
    <row r="17" spans="1:10" x14ac:dyDescent="0.3">
      <c r="A17" s="27" t="s">
        <v>43</v>
      </c>
      <c r="B17" s="27" t="s">
        <v>202</v>
      </c>
      <c r="C17" s="27" t="s">
        <v>203</v>
      </c>
      <c r="D17" s="27" t="s">
        <v>175</v>
      </c>
      <c r="E17" s="27" t="s">
        <v>13</v>
      </c>
      <c r="F17" s="22">
        <v>22220</v>
      </c>
      <c r="G17" s="22"/>
      <c r="H17" s="22">
        <f t="shared" si="0"/>
        <v>32441.8</v>
      </c>
      <c r="I17" s="22"/>
      <c r="J17" s="22">
        <f t="shared" si="1"/>
        <v>41592.051282051281</v>
      </c>
    </row>
    <row r="18" spans="1:10" x14ac:dyDescent="0.3">
      <c r="A18" s="28" t="s">
        <v>43</v>
      </c>
      <c r="B18" s="28" t="s">
        <v>204</v>
      </c>
      <c r="C18" s="28" t="s">
        <v>205</v>
      </c>
      <c r="D18" s="28" t="s">
        <v>175</v>
      </c>
      <c r="E18" s="28" t="s">
        <v>13</v>
      </c>
      <c r="F18" s="24">
        <v>23540</v>
      </c>
      <c r="G18" s="24"/>
      <c r="H18" s="22">
        <f t="shared" si="0"/>
        <v>34012.6</v>
      </c>
      <c r="I18" s="22"/>
      <c r="J18" s="22">
        <f t="shared" si="1"/>
        <v>43605.89743589743</v>
      </c>
    </row>
    <row r="19" spans="1:10" x14ac:dyDescent="0.3">
      <c r="A19" s="27" t="s">
        <v>43</v>
      </c>
      <c r="B19" s="27" t="s">
        <v>206</v>
      </c>
      <c r="C19" s="27" t="s">
        <v>207</v>
      </c>
      <c r="D19" s="27" t="s">
        <v>175</v>
      </c>
      <c r="E19" s="27" t="s">
        <v>13</v>
      </c>
      <c r="F19" s="22">
        <v>20110</v>
      </c>
      <c r="G19" s="22"/>
      <c r="H19" s="22">
        <f t="shared" si="0"/>
        <v>29930.899999999998</v>
      </c>
      <c r="I19" s="22"/>
      <c r="J19" s="22">
        <f t="shared" si="1"/>
        <v>38372.948717948711</v>
      </c>
    </row>
    <row r="20" spans="1:10" x14ac:dyDescent="0.3">
      <c r="A20" s="28" t="s">
        <v>43</v>
      </c>
      <c r="B20" s="28" t="s">
        <v>208</v>
      </c>
      <c r="C20" s="28" t="s">
        <v>209</v>
      </c>
      <c r="D20" s="28" t="s">
        <v>175</v>
      </c>
      <c r="E20" s="28" t="s">
        <v>13</v>
      </c>
      <c r="F20" s="24">
        <v>27100</v>
      </c>
      <c r="G20" s="24"/>
      <c r="H20" s="22">
        <f t="shared" si="0"/>
        <v>38249</v>
      </c>
      <c r="I20" s="22"/>
      <c r="J20" s="22">
        <f t="shared" si="1"/>
        <v>49037.179487179485</v>
      </c>
    </row>
    <row r="21" spans="1:10" x14ac:dyDescent="0.3">
      <c r="A21" s="27" t="s">
        <v>43</v>
      </c>
      <c r="B21" s="27" t="s">
        <v>210</v>
      </c>
      <c r="C21" s="27" t="s">
        <v>211</v>
      </c>
      <c r="D21" s="27" t="s">
        <v>175</v>
      </c>
      <c r="E21" s="27" t="s">
        <v>13</v>
      </c>
      <c r="F21" s="22">
        <v>23320</v>
      </c>
      <c r="G21" s="22"/>
      <c r="H21" s="22">
        <f t="shared" si="0"/>
        <v>33750.800000000003</v>
      </c>
      <c r="I21" s="22"/>
      <c r="J21" s="22">
        <f t="shared" si="1"/>
        <v>43270.256410256414</v>
      </c>
    </row>
    <row r="22" spans="1:10" x14ac:dyDescent="0.3">
      <c r="A22" s="28" t="s">
        <v>43</v>
      </c>
      <c r="B22" s="28" t="s">
        <v>212</v>
      </c>
      <c r="C22" s="28" t="s">
        <v>213</v>
      </c>
      <c r="D22" s="28" t="s">
        <v>175</v>
      </c>
      <c r="E22" s="28" t="s">
        <v>13</v>
      </c>
      <c r="F22" s="24">
        <v>23940</v>
      </c>
      <c r="G22" s="24"/>
      <c r="H22" s="22">
        <f t="shared" si="0"/>
        <v>34488.6</v>
      </c>
      <c r="I22" s="22"/>
      <c r="J22" s="22">
        <f t="shared" si="1"/>
        <v>44216.153846153844</v>
      </c>
    </row>
    <row r="23" spans="1:10" x14ac:dyDescent="0.3">
      <c r="A23" s="27" t="s">
        <v>106</v>
      </c>
      <c r="B23" s="27" t="s">
        <v>214</v>
      </c>
      <c r="C23" s="27" t="s">
        <v>215</v>
      </c>
      <c r="D23" s="27" t="s">
        <v>175</v>
      </c>
      <c r="E23" s="27" t="s">
        <v>13</v>
      </c>
      <c r="F23" s="22">
        <v>105120</v>
      </c>
      <c r="G23" s="22"/>
      <c r="H23" s="22">
        <f t="shared" si="0"/>
        <v>131092.79999999999</v>
      </c>
      <c r="I23" s="22"/>
      <c r="J23" s="22">
        <f t="shared" si="1"/>
        <v>168067.69230769228</v>
      </c>
    </row>
    <row r="24" spans="1:10" x14ac:dyDescent="0.3">
      <c r="A24" s="28" t="s">
        <v>52</v>
      </c>
      <c r="B24" s="28" t="s">
        <v>216</v>
      </c>
      <c r="C24" s="28" t="s">
        <v>217</v>
      </c>
      <c r="D24" s="28" t="s">
        <v>175</v>
      </c>
      <c r="E24" s="28" t="s">
        <v>13</v>
      </c>
      <c r="F24" s="24">
        <v>20810</v>
      </c>
      <c r="G24" s="24"/>
      <c r="H24" s="22">
        <f t="shared" si="0"/>
        <v>30763.899999999998</v>
      </c>
      <c r="I24" s="22"/>
      <c r="J24" s="22">
        <f t="shared" si="1"/>
        <v>39440.89743589743</v>
      </c>
    </row>
    <row r="25" spans="1:10" x14ac:dyDescent="0.3">
      <c r="A25" s="27" t="s">
        <v>52</v>
      </c>
      <c r="B25" s="27" t="s">
        <v>218</v>
      </c>
      <c r="C25" s="27" t="s">
        <v>219</v>
      </c>
      <c r="D25" s="27" t="s">
        <v>175</v>
      </c>
      <c r="E25" s="27" t="s">
        <v>13</v>
      </c>
      <c r="F25" s="22">
        <v>20810</v>
      </c>
      <c r="G25" s="22"/>
      <c r="H25" s="22">
        <f t="shared" si="0"/>
        <v>30763.899999999998</v>
      </c>
      <c r="I25" s="22"/>
      <c r="J25" s="22">
        <f t="shared" si="1"/>
        <v>39440.89743589743</v>
      </c>
    </row>
    <row r="26" spans="1:10" x14ac:dyDescent="0.3">
      <c r="A26" s="28" t="s">
        <v>52</v>
      </c>
      <c r="B26" s="28" t="s">
        <v>220</v>
      </c>
      <c r="C26" s="28" t="s">
        <v>221</v>
      </c>
      <c r="D26" s="28" t="s">
        <v>175</v>
      </c>
      <c r="E26" s="28" t="s">
        <v>13</v>
      </c>
      <c r="F26" s="24">
        <v>108060</v>
      </c>
      <c r="G26" s="24"/>
      <c r="H26" s="22">
        <f t="shared" si="0"/>
        <v>134591.4</v>
      </c>
      <c r="I26" s="22"/>
      <c r="J26" s="22">
        <f t="shared" si="1"/>
        <v>172553.07692307691</v>
      </c>
    </row>
    <row r="27" spans="1:10" x14ac:dyDescent="0.3">
      <c r="A27" s="27" t="s">
        <v>57</v>
      </c>
      <c r="B27" s="27" t="s">
        <v>222</v>
      </c>
      <c r="C27" s="27" t="s">
        <v>223</v>
      </c>
      <c r="D27" s="27" t="s">
        <v>175</v>
      </c>
      <c r="E27" s="27" t="s">
        <v>13</v>
      </c>
      <c r="F27" s="22">
        <v>64150</v>
      </c>
      <c r="G27" s="22"/>
      <c r="H27" s="22">
        <f t="shared" si="0"/>
        <v>82338.5</v>
      </c>
      <c r="I27" s="22"/>
      <c r="J27" s="22">
        <f t="shared" si="1"/>
        <v>105562.17948717948</v>
      </c>
    </row>
    <row r="28" spans="1:10" x14ac:dyDescent="0.3">
      <c r="A28" s="28" t="s">
        <v>243</v>
      </c>
      <c r="B28" s="28" t="s">
        <v>244</v>
      </c>
      <c r="C28" s="28" t="s">
        <v>245</v>
      </c>
      <c r="D28" s="28" t="s">
        <v>175</v>
      </c>
      <c r="E28" s="28" t="s">
        <v>246</v>
      </c>
      <c r="F28" s="28"/>
      <c r="G28" s="24">
        <v>56723.21</v>
      </c>
      <c r="H28" s="22">
        <f>G28*1.19+6000</f>
        <v>73500.619899999991</v>
      </c>
      <c r="I28" s="22"/>
      <c r="J28" s="22">
        <f t="shared" si="1"/>
        <v>94231.563974358956</v>
      </c>
    </row>
    <row r="29" spans="1:10" x14ac:dyDescent="0.3">
      <c r="A29" s="27" t="s">
        <v>243</v>
      </c>
      <c r="B29" s="27" t="s">
        <v>247</v>
      </c>
      <c r="C29" s="27" t="s">
        <v>245</v>
      </c>
      <c r="D29" s="27" t="s">
        <v>175</v>
      </c>
      <c r="E29" s="27" t="s">
        <v>246</v>
      </c>
      <c r="F29" s="27"/>
      <c r="G29" s="22">
        <v>56723.21</v>
      </c>
      <c r="H29" s="22">
        <f t="shared" ref="H29:H37" si="2">G29*1.19+6000</f>
        <v>73500.619899999991</v>
      </c>
      <c r="I29" s="22"/>
      <c r="J29" s="22">
        <f t="shared" ref="J29:J37" si="3">H29/0.78</f>
        <v>94231.563974358956</v>
      </c>
    </row>
    <row r="30" spans="1:10" x14ac:dyDescent="0.3">
      <c r="A30" s="28" t="s">
        <v>243</v>
      </c>
      <c r="B30" s="28" t="s">
        <v>248</v>
      </c>
      <c r="C30" s="28" t="s">
        <v>249</v>
      </c>
      <c r="D30" s="28" t="s">
        <v>175</v>
      </c>
      <c r="E30" s="27" t="s">
        <v>246</v>
      </c>
      <c r="F30" s="28"/>
      <c r="G30" s="24">
        <v>56723.21</v>
      </c>
      <c r="H30" s="22">
        <f t="shared" si="2"/>
        <v>73500.619899999991</v>
      </c>
      <c r="I30" s="22"/>
      <c r="J30" s="22">
        <f t="shared" si="3"/>
        <v>94231.563974358956</v>
      </c>
    </row>
    <row r="31" spans="1:10" x14ac:dyDescent="0.3">
      <c r="A31" s="27" t="s">
        <v>243</v>
      </c>
      <c r="B31" s="27" t="s">
        <v>250</v>
      </c>
      <c r="C31" s="27" t="s">
        <v>251</v>
      </c>
      <c r="D31" s="27" t="s">
        <v>175</v>
      </c>
      <c r="E31" s="27" t="s">
        <v>246</v>
      </c>
      <c r="F31" s="27"/>
      <c r="G31" s="22">
        <v>64285.71</v>
      </c>
      <c r="H31" s="22">
        <f t="shared" si="2"/>
        <v>82499.994899999991</v>
      </c>
      <c r="I31" s="22"/>
      <c r="J31" s="22">
        <f t="shared" si="3"/>
        <v>105769.22423076922</v>
      </c>
    </row>
    <row r="32" spans="1:10" x14ac:dyDescent="0.3">
      <c r="A32" s="28" t="s">
        <v>243</v>
      </c>
      <c r="B32" s="28" t="s">
        <v>252</v>
      </c>
      <c r="C32" s="28" t="s">
        <v>253</v>
      </c>
      <c r="D32" s="28" t="s">
        <v>175</v>
      </c>
      <c r="E32" s="28" t="s">
        <v>246</v>
      </c>
      <c r="F32" s="28"/>
      <c r="G32" s="24">
        <v>64285.71</v>
      </c>
      <c r="H32" s="22">
        <f t="shared" si="2"/>
        <v>82499.994899999991</v>
      </c>
      <c r="I32" s="22"/>
      <c r="J32" s="22">
        <f t="shared" si="3"/>
        <v>105769.22423076922</v>
      </c>
    </row>
    <row r="33" spans="1:10" x14ac:dyDescent="0.3">
      <c r="A33" s="27" t="s">
        <v>243</v>
      </c>
      <c r="B33" s="27" t="s">
        <v>254</v>
      </c>
      <c r="C33" s="27" t="s">
        <v>255</v>
      </c>
      <c r="D33" s="27" t="s">
        <v>175</v>
      </c>
      <c r="E33" s="27" t="s">
        <v>246</v>
      </c>
      <c r="F33" s="27"/>
      <c r="G33" s="22">
        <v>52941.18</v>
      </c>
      <c r="H33" s="22">
        <f t="shared" si="2"/>
        <v>69000.004199999996</v>
      </c>
      <c r="I33" s="22"/>
      <c r="J33" s="22">
        <f t="shared" si="3"/>
        <v>88461.543846153843</v>
      </c>
    </row>
    <row r="34" spans="1:10" x14ac:dyDescent="0.3">
      <c r="A34" s="28" t="s">
        <v>243</v>
      </c>
      <c r="B34" s="28" t="s">
        <v>256</v>
      </c>
      <c r="C34" s="28" t="s">
        <v>257</v>
      </c>
      <c r="D34" s="28" t="s">
        <v>175</v>
      </c>
      <c r="E34" s="28" t="s">
        <v>246</v>
      </c>
      <c r="F34" s="28"/>
      <c r="G34" s="24">
        <v>52941.18</v>
      </c>
      <c r="H34" s="22">
        <f t="shared" si="2"/>
        <v>69000.004199999996</v>
      </c>
      <c r="I34" s="22"/>
      <c r="J34" s="22">
        <f t="shared" si="3"/>
        <v>88461.543846153843</v>
      </c>
    </row>
    <row r="35" spans="1:10" x14ac:dyDescent="0.3">
      <c r="A35" s="27" t="s">
        <v>243</v>
      </c>
      <c r="B35" s="27" t="s">
        <v>258</v>
      </c>
      <c r="C35" s="27" t="s">
        <v>257</v>
      </c>
      <c r="D35" s="27" t="s">
        <v>175</v>
      </c>
      <c r="E35" s="27" t="s">
        <v>246</v>
      </c>
      <c r="F35" s="27"/>
      <c r="G35" s="22">
        <v>52941.18</v>
      </c>
      <c r="H35" s="22">
        <f t="shared" si="2"/>
        <v>69000.004199999996</v>
      </c>
      <c r="I35" s="22"/>
      <c r="J35" s="22">
        <f t="shared" si="3"/>
        <v>88461.543846153843</v>
      </c>
    </row>
    <row r="36" spans="1:10" x14ac:dyDescent="0.3">
      <c r="A36" s="28" t="s">
        <v>243</v>
      </c>
      <c r="B36" s="28" t="s">
        <v>259</v>
      </c>
      <c r="C36" s="28" t="s">
        <v>260</v>
      </c>
      <c r="D36" s="28" t="s">
        <v>175</v>
      </c>
      <c r="E36" s="28" t="s">
        <v>246</v>
      </c>
      <c r="F36" s="28"/>
      <c r="G36" s="24">
        <v>52941.18</v>
      </c>
      <c r="H36" s="22">
        <f t="shared" si="2"/>
        <v>69000.004199999996</v>
      </c>
      <c r="I36" s="22"/>
      <c r="J36" s="22">
        <f t="shared" si="3"/>
        <v>88461.543846153843</v>
      </c>
    </row>
    <row r="37" spans="1:10" x14ac:dyDescent="0.3">
      <c r="A37" s="27" t="s">
        <v>243</v>
      </c>
      <c r="B37" s="27" t="s">
        <v>261</v>
      </c>
      <c r="C37" s="27" t="s">
        <v>262</v>
      </c>
      <c r="D37" s="27" t="s">
        <v>175</v>
      </c>
      <c r="E37" s="27" t="s">
        <v>246</v>
      </c>
      <c r="F37" s="27"/>
      <c r="G37" s="22">
        <v>37814.730000000003</v>
      </c>
      <c r="H37" s="22">
        <f t="shared" si="2"/>
        <v>50999.528700000003</v>
      </c>
      <c r="I37" s="22"/>
      <c r="J37" s="22">
        <f t="shared" si="3"/>
        <v>65384.011153846157</v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289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26</v>
      </c>
      <c r="B3" s="2" t="s">
        <v>224</v>
      </c>
      <c r="C3" s="2" t="s">
        <v>225</v>
      </c>
      <c r="D3" s="2" t="s">
        <v>226</v>
      </c>
      <c r="E3" s="2" t="s">
        <v>13</v>
      </c>
      <c r="F3" s="12">
        <v>25650</v>
      </c>
      <c r="G3" s="3"/>
      <c r="H3" s="22">
        <f>F3*1.19+6000</f>
        <v>36523.5</v>
      </c>
      <c r="I3" s="22"/>
      <c r="J3" s="22">
        <f>H3/0.78</f>
        <v>46825</v>
      </c>
    </row>
    <row r="4" spans="1:10" x14ac:dyDescent="0.3">
      <c r="H4"/>
      <c r="I4"/>
      <c r="J4"/>
    </row>
    <row r="5" spans="1:10" x14ac:dyDescent="0.3">
      <c r="H5"/>
      <c r="I5"/>
      <c r="J5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290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9</v>
      </c>
      <c r="B3" s="2" t="s">
        <v>227</v>
      </c>
      <c r="C3" s="2" t="s">
        <v>228</v>
      </c>
      <c r="D3" s="2" t="s">
        <v>229</v>
      </c>
      <c r="E3" s="2" t="s">
        <v>13</v>
      </c>
      <c r="F3" s="12">
        <v>24070</v>
      </c>
      <c r="G3" s="3"/>
      <c r="H3" s="22">
        <f>F3*1.19+6000</f>
        <v>34643.300000000003</v>
      </c>
      <c r="I3" s="22"/>
      <c r="J3" s="22">
        <f>H3/0.78</f>
        <v>44414.48717948718</v>
      </c>
    </row>
    <row r="4" spans="1:10" x14ac:dyDescent="0.3">
      <c r="A4" s="4" t="s">
        <v>26</v>
      </c>
      <c r="B4" s="4" t="s">
        <v>230</v>
      </c>
      <c r="C4" s="4" t="s">
        <v>231</v>
      </c>
      <c r="D4" s="4" t="s">
        <v>229</v>
      </c>
      <c r="E4" s="4" t="s">
        <v>13</v>
      </c>
      <c r="F4" s="13">
        <v>24070</v>
      </c>
      <c r="G4" s="5"/>
      <c r="H4" s="22">
        <f t="shared" ref="H4:H5" si="0">F4*1.19+6000</f>
        <v>34643.300000000003</v>
      </c>
      <c r="I4" s="22"/>
      <c r="J4" s="22">
        <f t="shared" ref="J4:J5" si="1">H4/0.78</f>
        <v>44414.48717948718</v>
      </c>
    </row>
    <row r="5" spans="1:10" x14ac:dyDescent="0.3">
      <c r="A5" s="2" t="s">
        <v>43</v>
      </c>
      <c r="B5" s="2" t="s">
        <v>232</v>
      </c>
      <c r="C5" s="2" t="s">
        <v>233</v>
      </c>
      <c r="D5" s="2" t="s">
        <v>229</v>
      </c>
      <c r="E5" s="2" t="s">
        <v>13</v>
      </c>
      <c r="F5" s="12">
        <v>27020</v>
      </c>
      <c r="G5" s="3"/>
      <c r="H5" s="22">
        <f t="shared" si="0"/>
        <v>38153.800000000003</v>
      </c>
      <c r="I5" s="22"/>
      <c r="J5" s="22">
        <f t="shared" si="1"/>
        <v>48915.128205128211</v>
      </c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8"/>
  <sheetViews>
    <sheetView workbookViewId="0">
      <pane ySplit="2" topLeftCell="A3" activePane="bottomLeft" state="frozen"/>
      <selection activeCell="L73" sqref="L73"/>
      <selection pane="bottomLeft" activeCell="L73" sqref="L73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291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/>
      <c r="J2" s="20" t="s">
        <v>305</v>
      </c>
    </row>
    <row r="3" spans="1:10" x14ac:dyDescent="0.3">
      <c r="A3" s="2" t="s">
        <v>9</v>
      </c>
      <c r="B3" s="18" t="s">
        <v>234</v>
      </c>
      <c r="C3" s="2" t="s">
        <v>235</v>
      </c>
      <c r="D3" s="2" t="s">
        <v>236</v>
      </c>
      <c r="E3" s="2" t="s">
        <v>13</v>
      </c>
      <c r="F3" s="12">
        <v>28950</v>
      </c>
      <c r="G3" s="3"/>
      <c r="H3" s="22">
        <f>F3*1.19+6000</f>
        <v>40450.5</v>
      </c>
      <c r="I3" s="22"/>
      <c r="J3" s="22">
        <f>H3/0.78</f>
        <v>51859.615384615383</v>
      </c>
    </row>
    <row r="4" spans="1:10" x14ac:dyDescent="0.3">
      <c r="A4" s="4" t="s">
        <v>9</v>
      </c>
      <c r="B4" s="19" t="s">
        <v>237</v>
      </c>
      <c r="C4" s="4" t="s">
        <v>238</v>
      </c>
      <c r="D4" s="4" t="s">
        <v>236</v>
      </c>
      <c r="E4" s="4" t="s">
        <v>13</v>
      </c>
      <c r="F4" s="13">
        <v>27150</v>
      </c>
      <c r="G4" s="5"/>
      <c r="H4" s="22">
        <f t="shared" ref="H4:H5" si="0">F4*1.19+6000</f>
        <v>38308.5</v>
      </c>
      <c r="I4" s="22"/>
      <c r="J4" s="22">
        <f t="shared" ref="J4:J5" si="1">H4/0.78</f>
        <v>49113.461538461539</v>
      </c>
    </row>
    <row r="5" spans="1:10" x14ac:dyDescent="0.3">
      <c r="A5" s="2" t="s">
        <v>43</v>
      </c>
      <c r="B5" s="2" t="s">
        <v>239</v>
      </c>
      <c r="C5" s="2" t="s">
        <v>240</v>
      </c>
      <c r="D5" s="2" t="s">
        <v>236</v>
      </c>
      <c r="E5" s="2" t="s">
        <v>13</v>
      </c>
      <c r="F5" s="12">
        <v>24110</v>
      </c>
      <c r="G5" s="3"/>
      <c r="H5" s="22">
        <f t="shared" si="0"/>
        <v>34690.899999999994</v>
      </c>
      <c r="I5" s="22"/>
      <c r="J5" s="22">
        <f t="shared" si="1"/>
        <v>44475.512820512813</v>
      </c>
    </row>
    <row r="6" spans="1:10" x14ac:dyDescent="0.3">
      <c r="A6" s="4" t="s">
        <v>57</v>
      </c>
      <c r="B6" s="4" t="s">
        <v>241</v>
      </c>
      <c r="C6" s="4" t="s">
        <v>242</v>
      </c>
      <c r="D6" s="4" t="s">
        <v>236</v>
      </c>
      <c r="E6" s="4" t="s">
        <v>13</v>
      </c>
      <c r="F6" s="13">
        <v>21520</v>
      </c>
      <c r="G6" s="5"/>
      <c r="H6" s="22">
        <f t="shared" ref="H6" si="2">F6*1.19+6000</f>
        <v>31608.799999999999</v>
      </c>
      <c r="I6" s="22"/>
      <c r="J6" s="22">
        <f t="shared" ref="J6" si="3">H6/0.78</f>
        <v>40524.102564102563</v>
      </c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RESUMEN PEDIDOS</vt:lpstr>
      <vt:lpstr>Chevrolet</vt:lpstr>
      <vt:lpstr>Chevrolet_Daewoo</vt:lpstr>
      <vt:lpstr>Chevrolet_Mazda</vt:lpstr>
      <vt:lpstr>Chevrolet_Nissan</vt:lpstr>
      <vt:lpstr>Ford</vt:lpstr>
      <vt:lpstr>Hyundai</vt:lpstr>
      <vt:lpstr>Hyundai_Kia</vt:lpstr>
      <vt:lpstr>Kia</vt:lpstr>
      <vt:lpstr>Kia_Hyundai</vt:lpstr>
      <vt:lpstr>Mazda</vt:lpstr>
      <vt:lpstr>Mazda_Ford</vt:lpstr>
      <vt:lpstr>Mazda_Kia</vt:lpstr>
      <vt:lpstr>Nissan</vt:lpstr>
      <vt:lpstr>Renault</vt:lpstr>
      <vt:lpstr>Suzuki</vt:lpstr>
      <vt:lpstr>Toyota</vt:lpstr>
      <vt:lpstr>Volkswagen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SUAREZ ZAMBRANO</cp:lastModifiedBy>
  <dcterms:created xsi:type="dcterms:W3CDTF">2026-06-05T20:51:36Z</dcterms:created>
  <dcterms:modified xsi:type="dcterms:W3CDTF">2026-06-08T02:33:30Z</dcterms:modified>
</cp:coreProperties>
</file>