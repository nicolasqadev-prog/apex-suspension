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'Inventario'!$A$1:$U$155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  <xf numFmtId="1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  <col width="16" customWidth="1" min="20" max="20"/>
    <col width="16" customWidth="1" min="21" max="2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Costo IVA / pieza</t>
        </is>
      </c>
      <c r="I1" s="1" t="inlineStr">
        <is>
          <t>Fondo moto / pieza</t>
        </is>
      </c>
      <c r="J1" s="1" t="inlineStr">
        <is>
          <t>Costo real / pieza</t>
        </is>
      </c>
      <c r="K1" s="1" t="inlineStr">
        <is>
          <t>Precio Taller / pieza</t>
        </is>
      </c>
      <c r="L1" s="1" t="inlineStr">
        <is>
          <t>Precio Público / pieza</t>
        </is>
      </c>
      <c r="M1" s="1" t="inlineStr">
        <is>
          <t>Ganancia Taller / pieza</t>
        </is>
      </c>
      <c r="N1" s="1" t="inlineStr">
        <is>
          <t>Ganancia Público / pieza</t>
        </is>
      </c>
      <c r="O1" s="1" t="inlineStr">
        <is>
          <t>Venta total Taller</t>
        </is>
      </c>
      <c r="P1" s="1" t="inlineStr">
        <is>
          <t>Venta total Público</t>
        </is>
      </c>
      <c r="Q1" s="1" t="inlineStr">
        <is>
          <t>Fondo Logística Acumulado</t>
        </is>
      </c>
      <c r="R1" s="1" t="inlineStr">
        <is>
          <t>Costo real total (stock)</t>
        </is>
      </c>
      <c r="S1" s="1" t="inlineStr">
        <is>
          <t>Ganancia total Taller</t>
        </is>
      </c>
      <c r="T1" s="1" t="inlineStr">
        <is>
          <t>Ganancia total Público</t>
        </is>
      </c>
      <c r="U1" s="1" t="inlineStr">
        <is>
          <t>Ahorro mayorista total (reinversión)</t>
        </is>
      </c>
    </row>
    <row r="2">
      <c r="A2" t="inlineStr">
        <is>
          <t>KTR-4016</t>
        </is>
      </c>
      <c r="B2" t="inlineStr">
        <is>
          <t>Terminal Dirección Optra DER</t>
        </is>
      </c>
      <c r="C2" t="inlineStr">
        <is>
          <t>Chevrolet</t>
        </is>
      </c>
      <c r="D2" s="19" t="n">
        <v>2</v>
      </c>
      <c r="E2" s="14" t="n">
        <v>27500</v>
      </c>
      <c r="F2" s="14">
        <f>D2*E2</f>
        <v/>
      </c>
      <c r="G2" s="14" t="n">
        <v>20625</v>
      </c>
      <c r="H2" s="14">
        <f>IF(G2&gt;0,ROUND(G2*1.19,0),"")</f>
        <v/>
      </c>
      <c r="I2" s="14">
        <f>IF(H2&gt;0,ROUND(H2*0.08,0),"")</f>
        <v/>
      </c>
      <c r="J2" s="14">
        <f>IF(H2&gt;0,H2+I2,"")</f>
        <v/>
      </c>
      <c r="K2" s="14" t="n">
        <v>40800</v>
      </c>
      <c r="L2" s="14" t="n">
        <v>48200</v>
      </c>
      <c r="M2" s="14">
        <f>IF(AND(K2&gt;0,J2&gt;0),K2-J2,"")</f>
        <v/>
      </c>
      <c r="N2" s="14">
        <f>IF(AND(L2&gt;0,J2&gt;0),L2-J2,"")</f>
        <v/>
      </c>
      <c r="O2" s="14">
        <f>D2*K2</f>
        <v/>
      </c>
      <c r="P2" s="14">
        <f>D2*L2</f>
        <v/>
      </c>
      <c r="Q2" s="14">
        <f>IF(I2&gt;0,I2*D2,"")</f>
        <v/>
      </c>
      <c r="R2" s="14">
        <f>IF(J2&gt;0,J2*D2,"")</f>
        <v/>
      </c>
      <c r="S2" s="14">
        <f>IF(R2&gt;0,O2-R2,"")</f>
        <v/>
      </c>
      <c r="T2" s="14">
        <f>IF(R2&gt;0,P2-R2,"")</f>
        <v/>
      </c>
      <c r="U2" s="14">
        <f>ROUND((E2-G2)*D2,0)</f>
        <v/>
      </c>
    </row>
    <row r="3">
      <c r="A3" t="inlineStr">
        <is>
          <t>KSL-1005</t>
        </is>
      </c>
      <c r="B3" t="inlineStr">
        <is>
          <t>Bieleta Estab. Luv Dmax 4x4 RT50 Del IZQ</t>
        </is>
      </c>
      <c r="C3" t="inlineStr">
        <is>
          <t>Chevrolet</t>
        </is>
      </c>
      <c r="D3" s="19" t="n">
        <v>2</v>
      </c>
      <c r="E3" s="14" t="n">
        <v>23630</v>
      </c>
      <c r="F3" s="14">
        <f>D3*E3</f>
        <v/>
      </c>
      <c r="G3" s="14" t="n">
        <v>17723</v>
      </c>
      <c r="H3" s="14">
        <f>IF(G3&gt;0,ROUND(G3*1.19,0),"")</f>
        <v/>
      </c>
      <c r="I3" s="14">
        <f>IF(H3&gt;0,ROUND(H3*0.08,0),"")</f>
        <v/>
      </c>
      <c r="J3" s="14">
        <f>IF(H3&gt;0,H3+I3,"")</f>
        <v/>
      </c>
      <c r="K3" s="14" t="n">
        <v>35000</v>
      </c>
      <c r="L3" s="14" t="n">
        <v>41400</v>
      </c>
      <c r="M3" s="14">
        <f>IF(AND(K3&gt;0,J3&gt;0),K3-J3,"")</f>
        <v/>
      </c>
      <c r="N3" s="14">
        <f>IF(AND(L3&gt;0,J3&gt;0),L3-J3,"")</f>
        <v/>
      </c>
      <c r="O3" s="14">
        <f>D3*K3</f>
        <v/>
      </c>
      <c r="P3" s="14">
        <f>D3*L3</f>
        <v/>
      </c>
      <c r="Q3" s="14">
        <f>IF(I3&gt;0,I3*D3,"")</f>
        <v/>
      </c>
      <c r="R3" s="14">
        <f>IF(J3&gt;0,J3*D3,"")</f>
        <v/>
      </c>
      <c r="S3" s="14">
        <f>IF(R3&gt;0,O3-R3,"")</f>
        <v/>
      </c>
      <c r="T3" s="14">
        <f>IF(R3&gt;0,P3-R3,"")</f>
        <v/>
      </c>
      <c r="U3" s="14">
        <f>ROUND((E3-G3)*D3,0)</f>
        <v/>
      </c>
    </row>
    <row r="4">
      <c r="A4" t="inlineStr">
        <is>
          <t>KBJ-4013</t>
        </is>
      </c>
      <c r="B4" t="inlineStr">
        <is>
          <t>Rótula Luv 2300 SUP</t>
        </is>
      </c>
      <c r="C4" t="inlineStr">
        <is>
          <t>Chevrolet</t>
        </is>
      </c>
      <c r="D4" s="19" t="n">
        <v>2</v>
      </c>
      <c r="E4" s="14" t="n">
        <v>31280</v>
      </c>
      <c r="F4" s="14">
        <f>D4*E4</f>
        <v/>
      </c>
      <c r="G4" s="14" t="n">
        <v>23460</v>
      </c>
      <c r="H4" s="14">
        <f>IF(G4&gt;0,ROUND(G4*1.19,0),"")</f>
        <v/>
      </c>
      <c r="I4" s="14">
        <f>IF(H4&gt;0,ROUND(H4*0.08,0),"")</f>
        <v/>
      </c>
      <c r="J4" s="14">
        <f>IF(H4&gt;0,H4+I4,"")</f>
        <v/>
      </c>
      <c r="K4" s="14" t="n">
        <v>46400</v>
      </c>
      <c r="L4" s="14" t="n">
        <v>54800</v>
      </c>
      <c r="M4" s="14">
        <f>IF(AND(K4&gt;0,J4&gt;0),K4-J4,"")</f>
        <v/>
      </c>
      <c r="N4" s="14">
        <f>IF(AND(L4&gt;0,J4&gt;0),L4-J4,"")</f>
        <v/>
      </c>
      <c r="O4" s="14">
        <f>D4*K4</f>
        <v/>
      </c>
      <c r="P4" s="14">
        <f>D4*L4</f>
        <v/>
      </c>
      <c r="Q4" s="14">
        <f>IF(I4&gt;0,I4*D4,"")</f>
        <v/>
      </c>
      <c r="R4" s="14">
        <f>IF(J4&gt;0,J4*D4,"")</f>
        <v/>
      </c>
      <c r="S4" s="14">
        <f>IF(R4&gt;0,O4-R4,"")</f>
        <v/>
      </c>
      <c r="T4" s="14">
        <f>IF(R4&gt;0,P4-R4,"")</f>
        <v/>
      </c>
      <c r="U4" s="14">
        <f>ROUND((E4-G4)*D4,0)</f>
        <v/>
      </c>
    </row>
    <row r="5">
      <c r="A5" t="inlineStr">
        <is>
          <t>KTR-4035</t>
        </is>
      </c>
      <c r="B5" t="inlineStr">
        <is>
          <t>Terminal Dirección Sail IZQ</t>
        </is>
      </c>
      <c r="C5" t="inlineStr">
        <is>
          <t>Chevrolet</t>
        </is>
      </c>
      <c r="D5" s="19" t="n">
        <v>2</v>
      </c>
      <c r="E5" s="14" t="n">
        <v>26580</v>
      </c>
      <c r="F5" s="14">
        <f>D5*E5</f>
        <v/>
      </c>
      <c r="G5" s="14" t="n">
        <v>19935</v>
      </c>
      <c r="H5" s="14">
        <f>IF(G5&gt;0,ROUND(G5*1.19,0),"")</f>
        <v/>
      </c>
      <c r="I5" s="14">
        <f>IF(H5&gt;0,ROUND(H5*0.08,0),"")</f>
        <v/>
      </c>
      <c r="J5" s="14">
        <f>IF(H5&gt;0,H5+I5,"")</f>
        <v/>
      </c>
      <c r="K5" s="14" t="n">
        <v>39400</v>
      </c>
      <c r="L5" s="14" t="n">
        <v>46600</v>
      </c>
      <c r="M5" s="14">
        <f>IF(AND(K5&gt;0,J5&gt;0),K5-J5,"")</f>
        <v/>
      </c>
      <c r="N5" s="14">
        <f>IF(AND(L5&gt;0,J5&gt;0),L5-J5,"")</f>
        <v/>
      </c>
      <c r="O5" s="14">
        <f>D5*K5</f>
        <v/>
      </c>
      <c r="P5" s="14">
        <f>D5*L5</f>
        <v/>
      </c>
      <c r="Q5" s="14">
        <f>IF(I5&gt;0,I5*D5,"")</f>
        <v/>
      </c>
      <c r="R5" s="14">
        <f>IF(J5&gt;0,J5*D5,"")</f>
        <v/>
      </c>
      <c r="S5" s="14">
        <f>IF(R5&gt;0,O5-R5,"")</f>
        <v/>
      </c>
      <c r="T5" s="14">
        <f>IF(R5&gt;0,P5-R5,"")</f>
        <v/>
      </c>
      <c r="U5" s="14">
        <f>ROUND((E5-G5)*D5,0)</f>
        <v/>
      </c>
    </row>
    <row r="6">
      <c r="A6" t="inlineStr">
        <is>
          <t>KBJ-4001</t>
        </is>
      </c>
      <c r="B6" t="inlineStr">
        <is>
          <t>Rótula Aveo-Sail</t>
        </is>
      </c>
      <c r="C6" t="inlineStr">
        <is>
          <t>Chevrolet</t>
        </is>
      </c>
      <c r="D6" s="19" t="n">
        <v>2</v>
      </c>
      <c r="E6" s="14" t="n">
        <v>23410</v>
      </c>
      <c r="F6" s="14">
        <f>D6*E6</f>
        <v/>
      </c>
      <c r="G6" s="14" t="n">
        <v>17558</v>
      </c>
      <c r="H6" s="14">
        <f>IF(G6&gt;0,ROUND(G6*1.19,0),"")</f>
        <v/>
      </c>
      <c r="I6" s="14">
        <f>IF(H6&gt;0,ROUND(H6*0.08,0),"")</f>
        <v/>
      </c>
      <c r="J6" s="14">
        <f>IF(H6&gt;0,H6+I6,"")</f>
        <v/>
      </c>
      <c r="K6" s="14" t="n">
        <v>34700</v>
      </c>
      <c r="L6" s="14" t="n">
        <v>41000</v>
      </c>
      <c r="M6" s="14">
        <f>IF(AND(K6&gt;0,J6&gt;0),K6-J6,"")</f>
        <v/>
      </c>
      <c r="N6" s="14">
        <f>IF(AND(L6&gt;0,J6&gt;0),L6-J6,"")</f>
        <v/>
      </c>
      <c r="O6" s="14">
        <f>D6*K6</f>
        <v/>
      </c>
      <c r="P6" s="14">
        <f>D6*L6</f>
        <v/>
      </c>
      <c r="Q6" s="14">
        <f>IF(I6&gt;0,I6*D6,"")</f>
        <v/>
      </c>
      <c r="R6" s="14">
        <f>IF(J6&gt;0,J6*D6,"")</f>
        <v/>
      </c>
      <c r="S6" s="14">
        <f>IF(R6&gt;0,O6-R6,"")</f>
        <v/>
      </c>
      <c r="T6" s="14">
        <f>IF(R6&gt;0,P6-R6,"")</f>
        <v/>
      </c>
      <c r="U6" s="14">
        <f>ROUND((E6-G6)*D6,0)</f>
        <v/>
      </c>
    </row>
    <row r="7">
      <c r="A7" t="inlineStr">
        <is>
          <t>KTR-4034</t>
        </is>
      </c>
      <c r="B7" t="inlineStr">
        <is>
          <t>Terminal Dirección Sail DER</t>
        </is>
      </c>
      <c r="C7" t="inlineStr">
        <is>
          <t>Chevrolet</t>
        </is>
      </c>
      <c r="D7" s="19" t="n">
        <v>2</v>
      </c>
      <c r="E7" s="14" t="n">
        <v>26580</v>
      </c>
      <c r="F7" s="14">
        <f>D7*E7</f>
        <v/>
      </c>
      <c r="G7" s="14" t="n">
        <v>19935</v>
      </c>
      <c r="H7" s="14">
        <f>IF(G7&gt;0,ROUND(G7*1.19,0),"")</f>
        <v/>
      </c>
      <c r="I7" s="14">
        <f>IF(H7&gt;0,ROUND(H7*0.08,0),"")</f>
        <v/>
      </c>
      <c r="J7" s="14">
        <f>IF(H7&gt;0,H7+I7,"")</f>
        <v/>
      </c>
      <c r="K7" s="14" t="n">
        <v>39400</v>
      </c>
      <c r="L7" s="14" t="n">
        <v>46600</v>
      </c>
      <c r="M7" s="14">
        <f>IF(AND(K7&gt;0,J7&gt;0),K7-J7,"")</f>
        <v/>
      </c>
      <c r="N7" s="14">
        <f>IF(AND(L7&gt;0,J7&gt;0),L7-J7,"")</f>
        <v/>
      </c>
      <c r="O7" s="14">
        <f>D7*K7</f>
        <v/>
      </c>
      <c r="P7" s="14">
        <f>D7*L7</f>
        <v/>
      </c>
      <c r="Q7" s="14">
        <f>IF(I7&gt;0,I7*D7,"")</f>
        <v/>
      </c>
      <c r="R7" s="14">
        <f>IF(J7&gt;0,J7*D7,"")</f>
        <v/>
      </c>
      <c r="S7" s="14">
        <f>IF(R7&gt;0,O7-R7,"")</f>
        <v/>
      </c>
      <c r="T7" s="14">
        <f>IF(R7&gt;0,P7-R7,"")</f>
        <v/>
      </c>
      <c r="U7" s="14">
        <f>ROUND((E7-G7)*D7,0)</f>
        <v/>
      </c>
    </row>
    <row r="8">
      <c r="A8" t="inlineStr">
        <is>
          <t>KBJ-4008</t>
        </is>
      </c>
      <c r="B8" t="inlineStr">
        <is>
          <t>Rótula Luv 2300 4x4 D-Max 4x2-4x4 Trooper INF (x2)</t>
        </is>
      </c>
      <c r="C8" t="inlineStr">
        <is>
          <t>Chevrolet</t>
        </is>
      </c>
      <c r="D8" s="19" t="n">
        <v>2</v>
      </c>
      <c r="E8" s="14" t="n">
        <v>47740</v>
      </c>
      <c r="F8" s="14">
        <f>D8*E8</f>
        <v/>
      </c>
      <c r="G8" s="14" t="n">
        <v>35805</v>
      </c>
      <c r="H8" s="14">
        <f>IF(G8&gt;0,ROUND(G8*1.19,0),"")</f>
        <v/>
      </c>
      <c r="I8" s="14">
        <f>IF(H8&gt;0,ROUND(H8*0.08,0),"")</f>
        <v/>
      </c>
      <c r="J8" s="14">
        <f>IF(H8&gt;0,H8+I8,"")</f>
        <v/>
      </c>
      <c r="K8" s="14" t="n">
        <v>61400</v>
      </c>
      <c r="L8" s="14" t="n">
        <v>70800</v>
      </c>
      <c r="M8" s="14">
        <f>IF(AND(K8&gt;0,J8&gt;0),K8-J8,"")</f>
        <v/>
      </c>
      <c r="N8" s="14">
        <f>IF(AND(L8&gt;0,J8&gt;0),L8-J8,"")</f>
        <v/>
      </c>
      <c r="O8" s="14">
        <f>D8*K8</f>
        <v/>
      </c>
      <c r="P8" s="14">
        <f>D8*L8</f>
        <v/>
      </c>
      <c r="Q8" s="14">
        <f>IF(I8&gt;0,I8*D8,"")</f>
        <v/>
      </c>
      <c r="R8" s="14">
        <f>IF(J8&gt;0,J8*D8,"")</f>
        <v/>
      </c>
      <c r="S8" s="14">
        <f>IF(R8&gt;0,O8-R8,"")</f>
        <v/>
      </c>
      <c r="T8" s="14">
        <f>IF(R8&gt;0,P8-R8,"")</f>
        <v/>
      </c>
      <c r="U8" s="14">
        <f>ROUND((E8-G8)*D8,0)</f>
        <v/>
      </c>
    </row>
    <row r="9">
      <c r="A9" t="inlineStr">
        <is>
          <t>KTR-4019</t>
        </is>
      </c>
      <c r="B9" t="inlineStr">
        <is>
          <t>Terminal Dir Spark GT 1.2</t>
        </is>
      </c>
      <c r="C9" t="inlineStr">
        <is>
          <t>Chevrolet</t>
        </is>
      </c>
      <c r="D9" s="19" t="n">
        <v>2</v>
      </c>
      <c r="E9" s="14" t="n">
        <v>27680</v>
      </c>
      <c r="F9" s="14">
        <f>D9*E9</f>
        <v/>
      </c>
      <c r="G9" s="14" t="n">
        <v>20760</v>
      </c>
      <c r="H9" s="14">
        <f>IF(G9&gt;0,ROUND(G9*1.19,0),"")</f>
        <v/>
      </c>
      <c r="I9" s="14">
        <f>IF(H9&gt;0,ROUND(H9*0.08,0),"")</f>
        <v/>
      </c>
      <c r="J9" s="14">
        <f>IF(H9&gt;0,H9+I9,"")</f>
        <v/>
      </c>
      <c r="K9" s="14" t="n">
        <v>41000</v>
      </c>
      <c r="L9" s="14" t="n">
        <v>48500</v>
      </c>
      <c r="M9" s="14">
        <f>IF(AND(K9&gt;0,J9&gt;0),K9-J9,"")</f>
        <v/>
      </c>
      <c r="N9" s="14">
        <f>IF(AND(L9&gt;0,J9&gt;0),L9-J9,"")</f>
        <v/>
      </c>
      <c r="O9" s="14">
        <f>D9*K9</f>
        <v/>
      </c>
      <c r="P9" s="14">
        <f>D9*L9</f>
        <v/>
      </c>
      <c r="Q9" s="14">
        <f>IF(I9&gt;0,I9*D9,"")</f>
        <v/>
      </c>
      <c r="R9" s="14">
        <f>IF(J9&gt;0,J9*D9,"")</f>
        <v/>
      </c>
      <c r="S9" s="14">
        <f>IF(R9&gt;0,O9-R9,"")</f>
        <v/>
      </c>
      <c r="T9" s="14">
        <f>IF(R9&gt;0,P9-R9,"")</f>
        <v/>
      </c>
      <c r="U9" s="14">
        <f>ROUND((E9-G9)*D9,0)</f>
        <v/>
      </c>
    </row>
    <row r="10">
      <c r="A10" t="inlineStr">
        <is>
          <t>KTR-4015</t>
        </is>
      </c>
      <c r="B10" t="inlineStr">
        <is>
          <t>Terminal Dir Optra IZQ</t>
        </is>
      </c>
      <c r="C10" t="inlineStr">
        <is>
          <t>Chevrolet</t>
        </is>
      </c>
      <c r="D10" s="19" t="n">
        <v>2</v>
      </c>
      <c r="E10" s="14" t="n">
        <v>27500</v>
      </c>
      <c r="F10" s="14">
        <f>D10*E10</f>
        <v/>
      </c>
      <c r="G10" s="14" t="n">
        <v>20625</v>
      </c>
      <c r="H10" s="14">
        <f>IF(G10&gt;0,ROUND(G10*1.19,0),"")</f>
        <v/>
      </c>
      <c r="I10" s="14">
        <f>IF(H10&gt;0,ROUND(H10*0.08,0),"")</f>
        <v/>
      </c>
      <c r="J10" s="14">
        <f>IF(H10&gt;0,H10+I10,"")</f>
        <v/>
      </c>
      <c r="K10" s="14" t="n">
        <v>40800</v>
      </c>
      <c r="L10" s="14" t="n">
        <v>48200</v>
      </c>
      <c r="M10" s="14">
        <f>IF(AND(K10&gt;0,J10&gt;0),K10-J10,"")</f>
        <v/>
      </c>
      <c r="N10" s="14">
        <f>IF(AND(L10&gt;0,J10&gt;0),L10-J10,"")</f>
        <v/>
      </c>
      <c r="O10" s="14">
        <f>D10*K10</f>
        <v/>
      </c>
      <c r="P10" s="14">
        <f>D10*L10</f>
        <v/>
      </c>
      <c r="Q10" s="14">
        <f>IF(I10&gt;0,I10*D10,"")</f>
        <v/>
      </c>
      <c r="R10" s="14">
        <f>IF(J10&gt;0,J10*D10,"")</f>
        <v/>
      </c>
      <c r="S10" s="14">
        <f>IF(R10&gt;0,O10-R10,"")</f>
        <v/>
      </c>
      <c r="T10" s="14">
        <f>IF(R10&gt;0,P10-R10,"")</f>
        <v/>
      </c>
      <c r="U10" s="14">
        <f>ROUND((E10-G10)*D10,0)</f>
        <v/>
      </c>
    </row>
    <row r="11">
      <c r="A11" t="inlineStr">
        <is>
          <t>KTR-4002</t>
        </is>
      </c>
      <c r="B11" t="inlineStr">
        <is>
          <t>Terminal Dir Aveo DER</t>
        </is>
      </c>
      <c r="C11" t="inlineStr">
        <is>
          <t>Chevrolet</t>
        </is>
      </c>
      <c r="D11" s="19" t="n">
        <v>2</v>
      </c>
      <c r="E11" s="14" t="n">
        <v>24820</v>
      </c>
      <c r="F11" s="14">
        <f>D11*E11</f>
        <v/>
      </c>
      <c r="G11" s="14" t="n">
        <v>18615</v>
      </c>
      <c r="H11" s="14">
        <f>IF(G11&gt;0,ROUND(G11*1.19,0),"")</f>
        <v/>
      </c>
      <c r="I11" s="14">
        <f>IF(H11&gt;0,ROUND(H11*0.08,0),"")</f>
        <v/>
      </c>
      <c r="J11" s="14">
        <f>IF(H11&gt;0,H11+I11,"")</f>
        <v/>
      </c>
      <c r="K11" s="14" t="n">
        <v>36800</v>
      </c>
      <c r="L11" s="14" t="n">
        <v>43500</v>
      </c>
      <c r="M11" s="14">
        <f>IF(AND(K11&gt;0,J11&gt;0),K11-J11,"")</f>
        <v/>
      </c>
      <c r="N11" s="14">
        <f>IF(AND(L11&gt;0,J11&gt;0),L11-J11,"")</f>
        <v/>
      </c>
      <c r="O11" s="14">
        <f>D11*K11</f>
        <v/>
      </c>
      <c r="P11" s="14">
        <f>D11*L11</f>
        <v/>
      </c>
      <c r="Q11" s="14">
        <f>IF(I11&gt;0,I11*D11,"")</f>
        <v/>
      </c>
      <c r="R11" s="14">
        <f>IF(J11&gt;0,J11*D11,"")</f>
        <v/>
      </c>
      <c r="S11" s="14">
        <f>IF(R11&gt;0,O11-R11,"")</f>
        <v/>
      </c>
      <c r="T11" s="14">
        <f>IF(R11&gt;0,P11-R11,"")</f>
        <v/>
      </c>
      <c r="U11" s="14">
        <f>ROUND((E11-G11)*D11,0)</f>
        <v/>
      </c>
    </row>
    <row r="12">
      <c r="A12" t="inlineStr">
        <is>
          <t>KTR-4003</t>
        </is>
      </c>
      <c r="B12" t="inlineStr">
        <is>
          <t>Terminal Dir Aveo IZQ</t>
        </is>
      </c>
      <c r="C12" t="inlineStr">
        <is>
          <t>Chevrolet</t>
        </is>
      </c>
      <c r="D12" s="19" t="n">
        <v>2</v>
      </c>
      <c r="E12" s="14" t="n">
        <v>24820</v>
      </c>
      <c r="F12" s="14">
        <f>D12*E12</f>
        <v/>
      </c>
      <c r="G12" s="14" t="n">
        <v>18615</v>
      </c>
      <c r="H12" s="14">
        <f>IF(G12&gt;0,ROUND(G12*1.19,0),"")</f>
        <v/>
      </c>
      <c r="I12" s="14">
        <f>IF(H12&gt;0,ROUND(H12*0.08,0),"")</f>
        <v/>
      </c>
      <c r="J12" s="14">
        <f>IF(H12&gt;0,H12+I12,"")</f>
        <v/>
      </c>
      <c r="K12" s="14" t="n">
        <v>36800</v>
      </c>
      <c r="L12" s="14" t="n">
        <v>43500</v>
      </c>
      <c r="M12" s="14">
        <f>IF(AND(K12&gt;0,J12&gt;0),K12-J12,"")</f>
        <v/>
      </c>
      <c r="N12" s="14">
        <f>IF(AND(L12&gt;0,J12&gt;0),L12-J12,"")</f>
        <v/>
      </c>
      <c r="O12" s="14">
        <f>D12*K12</f>
        <v/>
      </c>
      <c r="P12" s="14">
        <f>D12*L12</f>
        <v/>
      </c>
      <c r="Q12" s="14">
        <f>IF(I12&gt;0,I12*D12,"")</f>
        <v/>
      </c>
      <c r="R12" s="14">
        <f>IF(J12&gt;0,J12*D12,"")</f>
        <v/>
      </c>
      <c r="S12" s="14">
        <f>IF(R12&gt;0,O12-R12,"")</f>
        <v/>
      </c>
      <c r="T12" s="14">
        <f>IF(R12&gt;0,P12-R12,"")</f>
        <v/>
      </c>
      <c r="U12" s="14">
        <f>ROUND((E12-G12)*D12,0)</f>
        <v/>
      </c>
    </row>
    <row r="13">
      <c r="A13" t="inlineStr">
        <is>
          <t>KSL-1006</t>
        </is>
      </c>
      <c r="B13" t="inlineStr">
        <is>
          <t>Bieleta Estab. Luv D-Max 4x4 RT-50 Del DER</t>
        </is>
      </c>
      <c r="C13" t="inlineStr">
        <is>
          <t>Chevrolet</t>
        </is>
      </c>
      <c r="D13" s="19" t="n">
        <v>2</v>
      </c>
      <c r="E13" s="14" t="n">
        <v>23630</v>
      </c>
      <c r="F13" s="14">
        <f>D13*E13</f>
        <v/>
      </c>
      <c r="G13" s="14" t="n">
        <v>17723</v>
      </c>
      <c r="H13" s="14">
        <f>IF(G13&gt;0,ROUND(G13*1.19,0),"")</f>
        <v/>
      </c>
      <c r="I13" s="14">
        <f>IF(H13&gt;0,ROUND(H13*0.08,0),"")</f>
        <v/>
      </c>
      <c r="J13" s="14">
        <f>IF(H13&gt;0,H13+I13,"")</f>
        <v/>
      </c>
      <c r="K13" s="14" t="n">
        <v>35000</v>
      </c>
      <c r="L13" s="14" t="n">
        <v>41400</v>
      </c>
      <c r="M13" s="14">
        <f>IF(AND(K13&gt;0,J13&gt;0),K13-J13,"")</f>
        <v/>
      </c>
      <c r="N13" s="14">
        <f>IF(AND(L13&gt;0,J13&gt;0),L13-J13,"")</f>
        <v/>
      </c>
      <c r="O13" s="14">
        <f>D13*K13</f>
        <v/>
      </c>
      <c r="P13" s="14">
        <f>D13*L13</f>
        <v/>
      </c>
      <c r="Q13" s="14">
        <f>IF(I13&gt;0,I13*D13,"")</f>
        <v/>
      </c>
      <c r="R13" s="14">
        <f>IF(J13&gt;0,J13*D13,"")</f>
        <v/>
      </c>
      <c r="S13" s="14">
        <f>IF(R13&gt;0,O13-R13,"")</f>
        <v/>
      </c>
      <c r="T13" s="14">
        <f>IF(R13&gt;0,P13-R13,"")</f>
        <v/>
      </c>
      <c r="U13" s="14">
        <f>ROUND((E13-G13)*D13,0)</f>
        <v/>
      </c>
    </row>
    <row r="14">
      <c r="A14" t="inlineStr">
        <is>
          <t>KSL-1004</t>
        </is>
      </c>
      <c r="B14" t="inlineStr">
        <is>
          <t>Bieleta Estab. Spark GT</t>
        </is>
      </c>
      <c r="C14" t="inlineStr">
        <is>
          <t>Chevrolet</t>
        </is>
      </c>
      <c r="D14" s="19" t="n">
        <v>2</v>
      </c>
      <c r="E14" s="14" t="n">
        <v>18040</v>
      </c>
      <c r="F14" s="14">
        <f>D14*E14</f>
        <v/>
      </c>
      <c r="G14" s="14" t="n">
        <v>13530</v>
      </c>
      <c r="H14" s="14">
        <f>IF(G14&gt;0,ROUND(G14*1.19,0),"")</f>
        <v/>
      </c>
      <c r="I14" s="14">
        <f>IF(H14&gt;0,ROUND(H14*0.08,0),"")</f>
        <v/>
      </c>
      <c r="J14" s="14">
        <f>IF(H14&gt;0,H14+I14,"")</f>
        <v/>
      </c>
      <c r="K14" s="14" t="n">
        <v>26800</v>
      </c>
      <c r="L14" s="14" t="n">
        <v>31600</v>
      </c>
      <c r="M14" s="14">
        <f>IF(AND(K14&gt;0,J14&gt;0),K14-J14,"")</f>
        <v/>
      </c>
      <c r="N14" s="14">
        <f>IF(AND(L14&gt;0,J14&gt;0),L14-J14,"")</f>
        <v/>
      </c>
      <c r="O14" s="14">
        <f>D14*K14</f>
        <v/>
      </c>
      <c r="P14" s="14">
        <f>D14*L14</f>
        <v/>
      </c>
      <c r="Q14" s="14">
        <f>IF(I14&gt;0,I14*D14,"")</f>
        <v/>
      </c>
      <c r="R14" s="14">
        <f>IF(J14&gt;0,J14*D14,"")</f>
        <v/>
      </c>
      <c r="S14" s="14">
        <f>IF(R14&gt;0,O14-R14,"")</f>
        <v/>
      </c>
      <c r="T14" s="14">
        <f>IF(R14&gt;0,P14-R14,"")</f>
        <v/>
      </c>
      <c r="U14" s="14">
        <f>ROUND((E14-G14)*D14,0)</f>
        <v/>
      </c>
    </row>
    <row r="15">
      <c r="A15" t="inlineStr">
        <is>
          <t>KRE-3015</t>
        </is>
      </c>
      <c r="B15" t="inlineStr">
        <is>
          <t>Terminal Axial Spark Chronos-Matiz</t>
        </is>
      </c>
      <c r="C15" t="inlineStr">
        <is>
          <t>Chevrolet</t>
        </is>
      </c>
      <c r="D15" s="19" t="n">
        <v>2</v>
      </c>
      <c r="E15" s="14" t="n">
        <v>20990</v>
      </c>
      <c r="F15" s="14">
        <f>D15*E15</f>
        <v/>
      </c>
      <c r="G15" s="14" t="n">
        <v>15743</v>
      </c>
      <c r="H15" s="14">
        <f>IF(G15&gt;0,ROUND(G15*1.19,0),"")</f>
        <v/>
      </c>
      <c r="I15" s="14">
        <f>IF(H15&gt;0,ROUND(H15*0.08,0),"")</f>
        <v/>
      </c>
      <c r="J15" s="14">
        <f>IF(H15&gt;0,H15+I15,"")</f>
        <v/>
      </c>
      <c r="K15" s="14" t="n">
        <v>31100</v>
      </c>
      <c r="L15" s="14" t="n">
        <v>36800</v>
      </c>
      <c r="M15" s="14">
        <f>IF(AND(K15&gt;0,J15&gt;0),K15-J15,"")</f>
        <v/>
      </c>
      <c r="N15" s="14">
        <f>IF(AND(L15&gt;0,J15&gt;0),L15-J15,"")</f>
        <v/>
      </c>
      <c r="O15" s="14">
        <f>D15*K15</f>
        <v/>
      </c>
      <c r="P15" s="14">
        <f>D15*L15</f>
        <v/>
      </c>
      <c r="Q15" s="14">
        <f>IF(I15&gt;0,I15*D15,"")</f>
        <v/>
      </c>
      <c r="R15" s="14">
        <f>IF(J15&gt;0,J15*D15,"")</f>
        <v/>
      </c>
      <c r="S15" s="14">
        <f>IF(R15&gt;0,O15-R15,"")</f>
        <v/>
      </c>
      <c r="T15" s="14">
        <f>IF(R15&gt;0,P15-R15,"")</f>
        <v/>
      </c>
      <c r="U15" s="14">
        <f>ROUND((E15-G15)*D15,0)</f>
        <v/>
      </c>
    </row>
    <row r="16">
      <c r="A16" t="inlineStr">
        <is>
          <t>KRE-3002</t>
        </is>
      </c>
      <c r="B16" t="inlineStr">
        <is>
          <t>Terminal Axial Aveo DER</t>
        </is>
      </c>
      <c r="C16" t="inlineStr">
        <is>
          <t>Chevrolet</t>
        </is>
      </c>
      <c r="D16" s="19" t="n">
        <v>2</v>
      </c>
      <c r="E16" s="14" t="n">
        <v>21910</v>
      </c>
      <c r="F16" s="14">
        <f>D16*E16</f>
        <v/>
      </c>
      <c r="G16" s="14" t="n">
        <v>16433</v>
      </c>
      <c r="H16" s="14">
        <f>IF(G16&gt;0,ROUND(G16*1.19,0),"")</f>
        <v/>
      </c>
      <c r="I16" s="14">
        <f>IF(H16&gt;0,ROUND(H16*0.08,0),"")</f>
        <v/>
      </c>
      <c r="J16" s="14">
        <f>IF(H16&gt;0,H16+I16,"")</f>
        <v/>
      </c>
      <c r="K16" s="14" t="n">
        <v>32500</v>
      </c>
      <c r="L16" s="14" t="n">
        <v>38400</v>
      </c>
      <c r="M16" s="14">
        <f>IF(AND(K16&gt;0,J16&gt;0),K16-J16,"")</f>
        <v/>
      </c>
      <c r="N16" s="14">
        <f>IF(AND(L16&gt;0,J16&gt;0),L16-J16,"")</f>
        <v/>
      </c>
      <c r="O16" s="14">
        <f>D16*K16</f>
        <v/>
      </c>
      <c r="P16" s="14">
        <f>D16*L16</f>
        <v/>
      </c>
      <c r="Q16" s="14">
        <f>IF(I16&gt;0,I16*D16,"")</f>
        <v/>
      </c>
      <c r="R16" s="14">
        <f>IF(J16&gt;0,J16*D16,"")</f>
        <v/>
      </c>
      <c r="S16" s="14">
        <f>IF(R16&gt;0,O16-R16,"")</f>
        <v/>
      </c>
      <c r="T16" s="14">
        <f>IF(R16&gt;0,P16-R16,"")</f>
        <v/>
      </c>
      <c r="U16" s="14">
        <f>ROUND((E16-G16)*D16,0)</f>
        <v/>
      </c>
    </row>
    <row r="17">
      <c r="A17" t="inlineStr">
        <is>
          <t>KSL-1010</t>
        </is>
      </c>
      <c r="B17" t="inlineStr">
        <is>
          <t>Bieleta Estab. Optra Del DER</t>
        </is>
      </c>
      <c r="C17" t="inlineStr">
        <is>
          <t>Chevrolet</t>
        </is>
      </c>
      <c r="D17" s="19" t="n">
        <v>2</v>
      </c>
      <c r="E17" s="14" t="n">
        <v>22220</v>
      </c>
      <c r="F17" s="14">
        <f>D17*E17</f>
        <v/>
      </c>
      <c r="G17" s="14" t="n">
        <v>16665</v>
      </c>
      <c r="H17" s="14">
        <f>IF(G17&gt;0,ROUND(G17*1.19,0),"")</f>
        <v/>
      </c>
      <c r="I17" s="14">
        <f>IF(H17&gt;0,ROUND(H17*0.08,0),"")</f>
        <v/>
      </c>
      <c r="J17" s="14">
        <f>IF(H17&gt;0,H17+I17,"")</f>
        <v/>
      </c>
      <c r="K17" s="14" t="n">
        <v>32900</v>
      </c>
      <c r="L17" s="14" t="n">
        <v>38900</v>
      </c>
      <c r="M17" s="14">
        <f>IF(AND(K17&gt;0,J17&gt;0),K17-J17,"")</f>
        <v/>
      </c>
      <c r="N17" s="14">
        <f>IF(AND(L17&gt;0,J17&gt;0),L17-J17,"")</f>
        <v/>
      </c>
      <c r="O17" s="14">
        <f>D17*K17</f>
        <v/>
      </c>
      <c r="P17" s="14">
        <f>D17*L17</f>
        <v/>
      </c>
      <c r="Q17" s="14">
        <f>IF(I17&gt;0,I17*D17,"")</f>
        <v/>
      </c>
      <c r="R17" s="14">
        <f>IF(J17&gt;0,J17*D17,"")</f>
        <v/>
      </c>
      <c r="S17" s="14">
        <f>IF(R17&gt;0,O17-R17,"")</f>
        <v/>
      </c>
      <c r="T17" s="14">
        <f>IF(R17&gt;0,P17-R17,"")</f>
        <v/>
      </c>
      <c r="U17" s="14">
        <f>ROUND((E17-G17)*D17,0)</f>
        <v/>
      </c>
    </row>
    <row r="18">
      <c r="A18" t="inlineStr">
        <is>
          <t>KSL-1011</t>
        </is>
      </c>
      <c r="B18" t="inlineStr">
        <is>
          <t>Bieleta Estab. Optra Del IZQ</t>
        </is>
      </c>
      <c r="C18" t="inlineStr">
        <is>
          <t>Chevrolet</t>
        </is>
      </c>
      <c r="D18" s="19" t="n">
        <v>2</v>
      </c>
      <c r="E18" s="14" t="n">
        <v>22220</v>
      </c>
      <c r="F18" s="14">
        <f>D18*E18</f>
        <v/>
      </c>
      <c r="G18" s="14" t="n">
        <v>16665</v>
      </c>
      <c r="H18" s="14">
        <f>IF(G18&gt;0,ROUND(G18*1.19,0),"")</f>
        <v/>
      </c>
      <c r="I18" s="14">
        <f>IF(H18&gt;0,ROUND(H18*0.08,0),"")</f>
        <v/>
      </c>
      <c r="J18" s="14">
        <f>IF(H18&gt;0,H18+I18,"")</f>
        <v/>
      </c>
      <c r="K18" s="14" t="n">
        <v>32900</v>
      </c>
      <c r="L18" s="14" t="n">
        <v>38900</v>
      </c>
      <c r="M18" s="14">
        <f>IF(AND(K18&gt;0,J18&gt;0),K18-J18,"")</f>
        <v/>
      </c>
      <c r="N18" s="14">
        <f>IF(AND(L18&gt;0,J18&gt;0),L18-J18,"")</f>
        <v/>
      </c>
      <c r="O18" s="14">
        <f>D18*K18</f>
        <v/>
      </c>
      <c r="P18" s="14">
        <f>D18*L18</f>
        <v/>
      </c>
      <c r="Q18" s="14">
        <f>IF(I18&gt;0,I18*D18,"")</f>
        <v/>
      </c>
      <c r="R18" s="14">
        <f>IF(J18&gt;0,J18*D18,"")</f>
        <v/>
      </c>
      <c r="S18" s="14">
        <f>IF(R18&gt;0,O18-R18,"")</f>
        <v/>
      </c>
      <c r="T18" s="14">
        <f>IF(R18&gt;0,P18-R18,"")</f>
        <v/>
      </c>
      <c r="U18" s="14">
        <f>ROUND((E18-G18)*D18,0)</f>
        <v/>
      </c>
    </row>
    <row r="19">
      <c r="A19" t="inlineStr">
        <is>
          <t>KRE-3013</t>
        </is>
      </c>
      <c r="B19" t="inlineStr">
        <is>
          <t>Terminal Axial Sail</t>
        </is>
      </c>
      <c r="C19" t="inlineStr">
        <is>
          <t>Chevrolet</t>
        </is>
      </c>
      <c r="D19" s="19" t="n">
        <v>2</v>
      </c>
      <c r="E19" s="14" t="n">
        <v>21470</v>
      </c>
      <c r="F19" s="14">
        <f>D19*E19</f>
        <v/>
      </c>
      <c r="G19" s="14" t="n">
        <v>16103</v>
      </c>
      <c r="H19" s="14">
        <f>IF(G19&gt;0,ROUND(G19*1.19,0),"")</f>
        <v/>
      </c>
      <c r="I19" s="14">
        <f>IF(H19&gt;0,ROUND(H19*0.08,0),"")</f>
        <v/>
      </c>
      <c r="J19" s="14">
        <f>IF(H19&gt;0,H19+I19,"")</f>
        <v/>
      </c>
      <c r="K19" s="14" t="n">
        <v>31800</v>
      </c>
      <c r="L19" s="14" t="n">
        <v>37600</v>
      </c>
      <c r="M19" s="14">
        <f>IF(AND(K19&gt;0,J19&gt;0),K19-J19,"")</f>
        <v/>
      </c>
      <c r="N19" s="14">
        <f>IF(AND(L19&gt;0,J19&gt;0),L19-J19,"")</f>
        <v/>
      </c>
      <c r="O19" s="14">
        <f>D19*K19</f>
        <v/>
      </c>
      <c r="P19" s="14">
        <f>D19*L19</f>
        <v/>
      </c>
      <c r="Q19" s="14">
        <f>IF(I19&gt;0,I19*D19,"")</f>
        <v/>
      </c>
      <c r="R19" s="14">
        <f>IF(J19&gt;0,J19*D19,"")</f>
        <v/>
      </c>
      <c r="S19" s="14">
        <f>IF(R19&gt;0,O19-R19,"")</f>
        <v/>
      </c>
      <c r="T19" s="14">
        <f>IF(R19&gt;0,P19-R19,"")</f>
        <v/>
      </c>
      <c r="U19" s="14">
        <f>ROUND((E19-G19)*D19,0)</f>
        <v/>
      </c>
    </row>
    <row r="20">
      <c r="A20" t="inlineStr">
        <is>
          <t>KRE-3026</t>
        </is>
      </c>
      <c r="B20" t="inlineStr">
        <is>
          <t>Terminal Axial Captiva 3.2 Tracker II 368mm-M14</t>
        </is>
      </c>
      <c r="C20" t="inlineStr">
        <is>
          <t>Chevrolet</t>
        </is>
      </c>
      <c r="D20" s="19" t="n">
        <v>2</v>
      </c>
      <c r="E20" s="14" t="n">
        <v>25870</v>
      </c>
      <c r="F20" s="14">
        <f>D20*E20</f>
        <v/>
      </c>
      <c r="G20" s="14" t="n">
        <v>19403</v>
      </c>
      <c r="H20" s="14">
        <f>IF(G20&gt;0,ROUND(G20*1.19,0),"")</f>
        <v/>
      </c>
      <c r="I20" s="14">
        <f>IF(H20&gt;0,ROUND(H20*0.08,0),"")</f>
        <v/>
      </c>
      <c r="J20" s="14">
        <f>IF(H20&gt;0,H20+I20,"")</f>
        <v/>
      </c>
      <c r="K20" s="14" t="n">
        <v>38400</v>
      </c>
      <c r="L20" s="14" t="n">
        <v>45300</v>
      </c>
      <c r="M20" s="14">
        <f>IF(AND(K20&gt;0,J20&gt;0),K20-J20,"")</f>
        <v/>
      </c>
      <c r="N20" s="14">
        <f>IF(AND(L20&gt;0,J20&gt;0),L20-J20,"")</f>
        <v/>
      </c>
      <c r="O20" s="14">
        <f>D20*K20</f>
        <v/>
      </c>
      <c r="P20" s="14">
        <f>D20*L20</f>
        <v/>
      </c>
      <c r="Q20" s="14">
        <f>IF(I20&gt;0,I20*D20,"")</f>
        <v/>
      </c>
      <c r="R20" s="14">
        <f>IF(J20&gt;0,J20*D20,"")</f>
        <v/>
      </c>
      <c r="S20" s="14">
        <f>IF(R20&gt;0,O20-R20,"")</f>
        <v/>
      </c>
      <c r="T20" s="14">
        <f>IF(R20&gt;0,P20-R20,"")</f>
        <v/>
      </c>
      <c r="U20" s="14">
        <f>ROUND((E20-G20)*D20,0)</f>
        <v/>
      </c>
    </row>
    <row r="21">
      <c r="A21" t="inlineStr">
        <is>
          <t>KSA-CH043</t>
        </is>
      </c>
      <c r="B21" t="inlineStr">
        <is>
          <t>Amortiguador Captiva 18-08 2.4 Del IZQ</t>
        </is>
      </c>
      <c r="C21" t="inlineStr">
        <is>
          <t>Chevrolet</t>
        </is>
      </c>
      <c r="D21" s="19" t="n">
        <v>1</v>
      </c>
      <c r="E21" s="14" t="n">
        <v>152460</v>
      </c>
      <c r="F21" s="14">
        <f>D21*E21</f>
        <v/>
      </c>
      <c r="G21" s="14" t="n">
        <v>114345</v>
      </c>
      <c r="H21" s="14">
        <f>IF(G21&gt;0,ROUND(G21*1.19,0),"")</f>
        <v/>
      </c>
      <c r="I21" s="14">
        <f>IF(H21&gt;0,ROUND(H21*0.08,0),"")</f>
        <v/>
      </c>
      <c r="J21" s="14">
        <f>IF(H21&gt;0,H21+I21,"")</f>
        <v/>
      </c>
      <c r="K21" s="14" t="n">
        <v>172900</v>
      </c>
      <c r="L21" s="14" t="n">
        <v>195900</v>
      </c>
      <c r="M21" s="14">
        <f>IF(AND(K21&gt;0,J21&gt;0),K21-J21,"")</f>
        <v/>
      </c>
      <c r="N21" s="14">
        <f>IF(AND(L21&gt;0,J21&gt;0),L21-J21,"")</f>
        <v/>
      </c>
      <c r="O21" s="14">
        <f>D21*K21</f>
        <v/>
      </c>
      <c r="P21" s="14">
        <f>D21*L21</f>
        <v/>
      </c>
      <c r="Q21" s="14">
        <f>IF(I21&gt;0,I21*D21,"")</f>
        <v/>
      </c>
      <c r="R21" s="14">
        <f>IF(J21&gt;0,J21*D21,"")</f>
        <v/>
      </c>
      <c r="S21" s="14">
        <f>IF(R21&gt;0,O21-R21,"")</f>
        <v/>
      </c>
      <c r="T21" s="14">
        <f>IF(R21&gt;0,P21-R21,"")</f>
        <v/>
      </c>
      <c r="U21" s="14">
        <f>ROUND((E21-G21)*D21,0)</f>
        <v/>
      </c>
    </row>
    <row r="22">
      <c r="A22" t="inlineStr">
        <is>
          <t>KSA-CH042</t>
        </is>
      </c>
      <c r="B22" t="inlineStr">
        <is>
          <t>Amortiguador Captiva 18-08 2.4 Del DER</t>
        </is>
      </c>
      <c r="C22" t="inlineStr">
        <is>
          <t>Chevrolet</t>
        </is>
      </c>
      <c r="D22" s="19" t="n">
        <v>1</v>
      </c>
      <c r="E22" s="14" t="n">
        <v>152460</v>
      </c>
      <c r="F22" s="14">
        <f>D22*E22</f>
        <v/>
      </c>
      <c r="G22" s="14" t="n">
        <v>114345</v>
      </c>
      <c r="H22" s="14">
        <f>IF(G22&gt;0,ROUND(G22*1.19,0),"")</f>
        <v/>
      </c>
      <c r="I22" s="14">
        <f>IF(H22&gt;0,ROUND(H22*0.08,0),"")</f>
        <v/>
      </c>
      <c r="J22" s="14">
        <f>IF(H22&gt;0,H22+I22,"")</f>
        <v/>
      </c>
      <c r="K22" s="14" t="n">
        <v>172900</v>
      </c>
      <c r="L22" s="14" t="n">
        <v>195900</v>
      </c>
      <c r="M22" s="14">
        <f>IF(AND(K22&gt;0,J22&gt;0),K22-J22,"")</f>
        <v/>
      </c>
      <c r="N22" s="14">
        <f>IF(AND(L22&gt;0,J22&gt;0),L22-J22,"")</f>
        <v/>
      </c>
      <c r="O22" s="14">
        <f>D22*K22</f>
        <v/>
      </c>
      <c r="P22" s="14">
        <f>D22*L22</f>
        <v/>
      </c>
      <c r="Q22" s="14">
        <f>IF(I22&gt;0,I22*D22,"")</f>
        <v/>
      </c>
      <c r="R22" s="14">
        <f>IF(J22&gt;0,J22*D22,"")</f>
        <v/>
      </c>
      <c r="S22" s="14">
        <f>IF(R22&gt;0,O22-R22,"")</f>
        <v/>
      </c>
      <c r="T22" s="14">
        <f>IF(R22&gt;0,P22-R22,"")</f>
        <v/>
      </c>
      <c r="U22" s="14">
        <f>ROUND((E22-G22)*D22,0)</f>
        <v/>
      </c>
    </row>
    <row r="23">
      <c r="A23" t="inlineStr">
        <is>
          <t>KBJ-4091</t>
        </is>
      </c>
      <c r="B23" t="inlineStr">
        <is>
          <t>Rótula Cobalt-Tracker-Sonic-Onix</t>
        </is>
      </c>
      <c r="C23" t="inlineStr">
        <is>
          <t>Chevrolet</t>
        </is>
      </c>
      <c r="D23" s="19" t="n">
        <v>2</v>
      </c>
      <c r="E23" s="14" t="n">
        <v>28420</v>
      </c>
      <c r="F23" s="14">
        <f>D23*E23</f>
        <v/>
      </c>
      <c r="G23" s="14" t="n">
        <v>21315</v>
      </c>
      <c r="H23" s="14">
        <f>IF(G23&gt;0,ROUND(G23*1.19,0),"")</f>
        <v/>
      </c>
      <c r="I23" s="14">
        <f>IF(H23&gt;0,ROUND(H23*0.08,0),"")</f>
        <v/>
      </c>
      <c r="J23" s="14">
        <f>IF(H23&gt;0,H23+I23,"")</f>
        <v/>
      </c>
      <c r="K23" s="14" t="n">
        <v>42100</v>
      </c>
      <c r="L23" s="14" t="n">
        <v>49800</v>
      </c>
      <c r="M23" s="14">
        <f>IF(AND(K23&gt;0,J23&gt;0),K23-J23,"")</f>
        <v/>
      </c>
      <c r="N23" s="14">
        <f>IF(AND(L23&gt;0,J23&gt;0),L23-J23,"")</f>
        <v/>
      </c>
      <c r="O23" s="14">
        <f>D23*K23</f>
        <v/>
      </c>
      <c r="P23" s="14">
        <f>D23*L23</f>
        <v/>
      </c>
      <c r="Q23" s="14">
        <f>IF(I23&gt;0,I23*D23,"")</f>
        <v/>
      </c>
      <c r="R23" s="14">
        <f>IF(J23&gt;0,J23*D23,"")</f>
        <v/>
      </c>
      <c r="S23" s="14">
        <f>IF(R23&gt;0,O23-R23,"")</f>
        <v/>
      </c>
      <c r="T23" s="14">
        <f>IF(R23&gt;0,P23-R23,"")</f>
        <v/>
      </c>
      <c r="U23" s="14">
        <f>ROUND((E23-G23)*D23,0)</f>
        <v/>
      </c>
    </row>
    <row r="24">
      <c r="A24" t="inlineStr">
        <is>
          <t>KTR-4018</t>
        </is>
      </c>
      <c r="B24" t="inlineStr">
        <is>
          <t>Terminal Dir Spark Chronos / Daewoo Matiz-Tico</t>
        </is>
      </c>
      <c r="C24" t="inlineStr">
        <is>
          <t>Chevrolet/Daewoo</t>
        </is>
      </c>
      <c r="D24" s="19" t="n">
        <v>2</v>
      </c>
      <c r="E24" s="14" t="n">
        <v>17290</v>
      </c>
      <c r="F24" s="14">
        <f>D24*E24</f>
        <v/>
      </c>
      <c r="G24" s="14" t="n">
        <v>12968</v>
      </c>
      <c r="H24" s="14">
        <f>IF(G24&gt;0,ROUND(G24*1.19,0),"")</f>
        <v/>
      </c>
      <c r="I24" s="14">
        <f>IF(H24&gt;0,ROUND(H24*0.08,0),"")</f>
        <v/>
      </c>
      <c r="J24" s="14">
        <f>IF(H24&gt;0,H24+I24,"")</f>
        <v/>
      </c>
      <c r="K24" s="14" t="n">
        <v>25600</v>
      </c>
      <c r="L24" s="14" t="n">
        <v>30300</v>
      </c>
      <c r="M24" s="14">
        <f>IF(AND(K24&gt;0,J24&gt;0),K24-J24,"")</f>
        <v/>
      </c>
      <c r="N24" s="14">
        <f>IF(AND(L24&gt;0,J24&gt;0),L24-J24,"")</f>
        <v/>
      </c>
      <c r="O24" s="14">
        <f>D24*K24</f>
        <v/>
      </c>
      <c r="P24" s="14">
        <f>D24*L24</f>
        <v/>
      </c>
      <c r="Q24" s="14">
        <f>IF(I24&gt;0,I24*D24,"")</f>
        <v/>
      </c>
      <c r="R24" s="14">
        <f>IF(J24&gt;0,J24*D24,"")</f>
        <v/>
      </c>
      <c r="S24" s="14">
        <f>IF(R24&gt;0,O24-R24,"")</f>
        <v/>
      </c>
      <c r="T24" s="14">
        <f>IF(R24&gt;0,P24-R24,"")</f>
        <v/>
      </c>
      <c r="U24" s="14">
        <f>ROUND((E24-G24)*D24,0)</f>
        <v/>
      </c>
    </row>
    <row r="25">
      <c r="A25" t="inlineStr">
        <is>
          <t>KSA-DA001</t>
        </is>
      </c>
      <c r="B25" t="inlineStr">
        <is>
          <t>Amortiguador Spark 7.24 / Daewoo Matiz II Del DER</t>
        </is>
      </c>
      <c r="C25" t="inlineStr">
        <is>
          <t>Chevrolet/Daewoo</t>
        </is>
      </c>
      <c r="D25" s="19" t="n">
        <v>1</v>
      </c>
      <c r="E25" s="14" t="n">
        <v>78800</v>
      </c>
      <c r="F25" s="14">
        <f>D25*E25</f>
        <v/>
      </c>
      <c r="G25" s="14" t="n">
        <v>59100</v>
      </c>
      <c r="H25" s="14">
        <f>IF(G25&gt;0,ROUND(G25*1.19,0),"")</f>
        <v/>
      </c>
      <c r="I25" s="14">
        <f>IF(H25&gt;0,ROUND(H25*0.08,0),"")</f>
        <v/>
      </c>
      <c r="J25" s="14">
        <f>IF(H25&gt;0,H25+I25,"")</f>
        <v/>
      </c>
      <c r="K25" s="14" t="n">
        <v>101300</v>
      </c>
      <c r="L25" s="14" t="n">
        <v>116900</v>
      </c>
      <c r="M25" s="14">
        <f>IF(AND(K25&gt;0,J25&gt;0),K25-J25,"")</f>
        <v/>
      </c>
      <c r="N25" s="14">
        <f>IF(AND(L25&gt;0,J25&gt;0),L25-J25,"")</f>
        <v/>
      </c>
      <c r="O25" s="14">
        <f>D25*K25</f>
        <v/>
      </c>
      <c r="P25" s="14">
        <f>D25*L25</f>
        <v/>
      </c>
      <c r="Q25" s="14">
        <f>IF(I25&gt;0,I25*D25,"")</f>
        <v/>
      </c>
      <c r="R25" s="14">
        <f>IF(J25&gt;0,J25*D25,"")</f>
        <v/>
      </c>
      <c r="S25" s="14">
        <f>IF(R25&gt;0,O25-R25,"")</f>
        <v/>
      </c>
      <c r="T25" s="14">
        <f>IF(R25&gt;0,P25-R25,"")</f>
        <v/>
      </c>
      <c r="U25" s="14">
        <f>ROUND((E25-G25)*D25,0)</f>
        <v/>
      </c>
    </row>
    <row r="26">
      <c r="A26" t="inlineStr">
        <is>
          <t>KSA-DA002</t>
        </is>
      </c>
      <c r="B26" t="inlineStr">
        <is>
          <t>Amortiguador Spark 7.24 / Daewoo Matiz II Del IZQ</t>
        </is>
      </c>
      <c r="C26" t="inlineStr">
        <is>
          <t>Chevrolet/Daewoo</t>
        </is>
      </c>
      <c r="D26" s="19" t="n">
        <v>1</v>
      </c>
      <c r="E26" s="14" t="n">
        <v>78800</v>
      </c>
      <c r="F26" s="14">
        <f>D26*E26</f>
        <v/>
      </c>
      <c r="G26" s="14" t="n">
        <v>59100</v>
      </c>
      <c r="H26" s="14">
        <f>IF(G26&gt;0,ROUND(G26*1.19,0),"")</f>
        <v/>
      </c>
      <c r="I26" s="14">
        <f>IF(H26&gt;0,ROUND(H26*0.08,0),"")</f>
        <v/>
      </c>
      <c r="J26" s="14">
        <f>IF(H26&gt;0,H26+I26,"")</f>
        <v/>
      </c>
      <c r="K26" s="14" t="n">
        <v>101300</v>
      </c>
      <c r="L26" s="14" t="n">
        <v>116900</v>
      </c>
      <c r="M26" s="14">
        <f>IF(AND(K26&gt;0,J26&gt;0),K26-J26,"")</f>
        <v/>
      </c>
      <c r="N26" s="14">
        <f>IF(AND(L26&gt;0,J26&gt;0),L26-J26,"")</f>
        <v/>
      </c>
      <c r="O26" s="14">
        <f>D26*K26</f>
        <v/>
      </c>
      <c r="P26" s="14">
        <f>D26*L26</f>
        <v/>
      </c>
      <c r="Q26" s="14">
        <f>IF(I26&gt;0,I26*D26,"")</f>
        <v/>
      </c>
      <c r="R26" s="14">
        <f>IF(J26&gt;0,J26*D26,"")</f>
        <v/>
      </c>
      <c r="S26" s="14">
        <f>IF(R26&gt;0,O26-R26,"")</f>
        <v/>
      </c>
      <c r="T26" s="14">
        <f>IF(R26&gt;0,P26-R26,"")</f>
        <v/>
      </c>
      <c r="U26" s="14">
        <f>ROUND((E26-G26)*D26,0)</f>
        <v/>
      </c>
    </row>
    <row r="27">
      <c r="A27" t="inlineStr">
        <is>
          <t>KSL-1001</t>
        </is>
      </c>
      <c r="B27" t="inlineStr">
        <is>
          <t>Bieleta Estab. Aveo / Allegro</t>
        </is>
      </c>
      <c r="C27" t="inlineStr">
        <is>
          <t>Chevrolet/Mazda</t>
        </is>
      </c>
      <c r="D27" s="19" t="n">
        <v>2</v>
      </c>
      <c r="E27" s="14" t="n">
        <v>18220</v>
      </c>
      <c r="F27" s="14">
        <f>D27*E27</f>
        <v/>
      </c>
      <c r="G27" s="14" t="n">
        <v>13665</v>
      </c>
      <c r="H27" s="14">
        <f>IF(G27&gt;0,ROUND(G27*1.19,0),"")</f>
        <v/>
      </c>
      <c r="I27" s="14">
        <f>IF(H27&gt;0,ROUND(H27*0.08,0),"")</f>
        <v/>
      </c>
      <c r="J27" s="14">
        <f>IF(H27&gt;0,H27+I27,"")</f>
        <v/>
      </c>
      <c r="K27" s="14" t="n">
        <v>27000</v>
      </c>
      <c r="L27" s="14" t="n">
        <v>31900</v>
      </c>
      <c r="M27" s="14">
        <f>IF(AND(K27&gt;0,J27&gt;0),K27-J27,"")</f>
        <v/>
      </c>
      <c r="N27" s="14">
        <f>IF(AND(L27&gt;0,J27&gt;0),L27-J27,"")</f>
        <v/>
      </c>
      <c r="O27" s="14">
        <f>D27*K27</f>
        <v/>
      </c>
      <c r="P27" s="14">
        <f>D27*L27</f>
        <v/>
      </c>
      <c r="Q27" s="14">
        <f>IF(I27&gt;0,I27*D27,"")</f>
        <v/>
      </c>
      <c r="R27" s="14">
        <f>IF(J27&gt;0,J27*D27,"")</f>
        <v/>
      </c>
      <c r="S27" s="14">
        <f>IF(R27&gt;0,O27-R27,"")</f>
        <v/>
      </c>
      <c r="T27" s="14">
        <f>IF(R27&gt;0,P27-R27,"")</f>
        <v/>
      </c>
      <c r="U27" s="14">
        <f>ROUND((E27-G27)*D27,0)</f>
        <v/>
      </c>
    </row>
    <row r="28">
      <c r="A28" t="inlineStr">
        <is>
          <t>KSL-1013</t>
        </is>
      </c>
      <c r="B28" t="inlineStr">
        <is>
          <t>Bieleta Estab. Swift-Esteem-Vitara / Nissan Sentra</t>
        </is>
      </c>
      <c r="C28" t="inlineStr">
        <is>
          <t>Chevrolet/Nissan</t>
        </is>
      </c>
      <c r="D28" s="19" t="n">
        <v>2</v>
      </c>
      <c r="E28" s="14" t="n">
        <v>17200</v>
      </c>
      <c r="F28" s="14">
        <f>D28*E28</f>
        <v/>
      </c>
      <c r="G28" s="14" t="n">
        <v>12900</v>
      </c>
      <c r="H28" s="14">
        <f>IF(G28&gt;0,ROUND(G28*1.19,0),"")</f>
        <v/>
      </c>
      <c r="I28" s="14">
        <f>IF(H28&gt;0,ROUND(H28*0.08,0),"")</f>
        <v/>
      </c>
      <c r="J28" s="14">
        <f>IF(H28&gt;0,H28+I28,"")</f>
        <v/>
      </c>
      <c r="K28" s="14" t="n">
        <v>25500</v>
      </c>
      <c r="L28" s="14" t="n">
        <v>30100</v>
      </c>
      <c r="M28" s="14">
        <f>IF(AND(K28&gt;0,J28&gt;0),K28-J28,"")</f>
        <v/>
      </c>
      <c r="N28" s="14">
        <f>IF(AND(L28&gt;0,J28&gt;0),L28-J28,"")</f>
        <v/>
      </c>
      <c r="O28" s="14">
        <f>D28*K28</f>
        <v/>
      </c>
      <c r="P28" s="14">
        <f>D28*L28</f>
        <v/>
      </c>
      <c r="Q28" s="14">
        <f>IF(I28&gt;0,I28*D28,"")</f>
        <v/>
      </c>
      <c r="R28" s="14">
        <f>IF(J28&gt;0,J28*D28,"")</f>
        <v/>
      </c>
      <c r="S28" s="14">
        <f>IF(R28&gt;0,O28-R28,"")</f>
        <v/>
      </c>
      <c r="T28" s="14">
        <f>IF(R28&gt;0,P28-R28,"")</f>
        <v/>
      </c>
      <c r="U28" s="14">
        <f>ROUND((E28-G28)*D28,0)</f>
        <v/>
      </c>
    </row>
    <row r="29">
      <c r="A29" t="inlineStr">
        <is>
          <t>KTR-4333</t>
        </is>
      </c>
      <c r="B29" t="inlineStr">
        <is>
          <t>Terminal Dirección Fiesta 18-12 IZQ</t>
        </is>
      </c>
      <c r="C29" t="inlineStr">
        <is>
          <t>Ford</t>
        </is>
      </c>
      <c r="D29" s="19" t="n">
        <v>2</v>
      </c>
      <c r="E29" s="14" t="n">
        <v>18920</v>
      </c>
      <c r="F29" s="14">
        <f>D29*E29</f>
        <v/>
      </c>
      <c r="G29" s="14" t="n">
        <v>14190</v>
      </c>
      <c r="H29" s="14">
        <f>IF(G29&gt;0,ROUND(G29*1.19,0),"")</f>
        <v/>
      </c>
      <c r="I29" s="14">
        <f>IF(H29&gt;0,ROUND(H29*0.08,0),"")</f>
        <v/>
      </c>
      <c r="J29" s="14">
        <f>IF(H29&gt;0,H29+I29,"")</f>
        <v/>
      </c>
      <c r="K29" s="14" t="n">
        <v>28100</v>
      </c>
      <c r="L29" s="14" t="n">
        <v>33200</v>
      </c>
      <c r="M29" s="14">
        <f>IF(AND(K29&gt;0,J29&gt;0),K29-J29,"")</f>
        <v/>
      </c>
      <c r="N29" s="14">
        <f>IF(AND(L29&gt;0,J29&gt;0),L29-J29,"")</f>
        <v/>
      </c>
      <c r="O29" s="14">
        <f>D29*K29</f>
        <v/>
      </c>
      <c r="P29" s="14">
        <f>D29*L29</f>
        <v/>
      </c>
      <c r="Q29" s="14">
        <f>IF(I29&gt;0,I29*D29,"")</f>
        <v/>
      </c>
      <c r="R29" s="14">
        <f>IF(J29&gt;0,J29*D29,"")</f>
        <v/>
      </c>
      <c r="S29" s="14">
        <f>IF(R29&gt;0,O29-R29,"")</f>
        <v/>
      </c>
      <c r="T29" s="14">
        <f>IF(R29&gt;0,P29-R29,"")</f>
        <v/>
      </c>
      <c r="U29" s="14">
        <f>ROUND((E29-G29)*D29,0)</f>
        <v/>
      </c>
    </row>
    <row r="30">
      <c r="A30" t="inlineStr">
        <is>
          <t>KTR-4332</t>
        </is>
      </c>
      <c r="B30" t="inlineStr">
        <is>
          <t>Terminal Dir Ford Fiesta 18-12 DER</t>
        </is>
      </c>
      <c r="C30" t="inlineStr">
        <is>
          <t>Ford</t>
        </is>
      </c>
      <c r="D30" s="19" t="n">
        <v>2</v>
      </c>
      <c r="E30" s="14" t="n">
        <v>18920</v>
      </c>
      <c r="F30" s="14">
        <f>D30*E30</f>
        <v/>
      </c>
      <c r="G30" s="14" t="n">
        <v>14190</v>
      </c>
      <c r="H30" s="14">
        <f>IF(G30&gt;0,ROUND(G30*1.19,0),"")</f>
        <v/>
      </c>
      <c r="I30" s="14">
        <f>IF(H30&gt;0,ROUND(H30*0.08,0),"")</f>
        <v/>
      </c>
      <c r="J30" s="14">
        <f>IF(H30&gt;0,H30+I30,"")</f>
        <v/>
      </c>
      <c r="K30" s="14" t="n">
        <v>28100</v>
      </c>
      <c r="L30" s="14" t="n">
        <v>33200</v>
      </c>
      <c r="M30" s="14">
        <f>IF(AND(K30&gt;0,J30&gt;0),K30-J30,"")</f>
        <v/>
      </c>
      <c r="N30" s="14">
        <f>IF(AND(L30&gt;0,J30&gt;0),L30-J30,"")</f>
        <v/>
      </c>
      <c r="O30" s="14">
        <f>D30*K30</f>
        <v/>
      </c>
      <c r="P30" s="14">
        <f>D30*L30</f>
        <v/>
      </c>
      <c r="Q30" s="14">
        <f>IF(I30&gt;0,I30*D30,"")</f>
        <v/>
      </c>
      <c r="R30" s="14">
        <f>IF(J30&gt;0,J30*D30,"")</f>
        <v/>
      </c>
      <c r="S30" s="14">
        <f>IF(R30&gt;0,O30-R30,"")</f>
        <v/>
      </c>
      <c r="T30" s="14">
        <f>IF(R30&gt;0,P30-R30,"")</f>
        <v/>
      </c>
      <c r="U30" s="14">
        <f>ROUND((E30-G30)*D30,0)</f>
        <v/>
      </c>
    </row>
    <row r="31">
      <c r="A31" t="inlineStr">
        <is>
          <t>KRE-3024</t>
        </is>
      </c>
      <c r="B31" t="inlineStr">
        <is>
          <t>Terminal Axial Ford Fiesta 18-12 SE</t>
        </is>
      </c>
      <c r="C31" t="inlineStr">
        <is>
          <t>Ford</t>
        </is>
      </c>
      <c r="D31" s="19" t="n">
        <v>2</v>
      </c>
      <c r="E31" s="14" t="n">
        <v>20720</v>
      </c>
      <c r="F31" s="14">
        <f>D31*E31</f>
        <v/>
      </c>
      <c r="G31" s="14" t="n">
        <v>15540</v>
      </c>
      <c r="H31" s="14">
        <f>IF(G31&gt;0,ROUND(G31*1.19,0),"")</f>
        <v/>
      </c>
      <c r="I31" s="14">
        <f>IF(H31&gt;0,ROUND(H31*0.08,0),"")</f>
        <v/>
      </c>
      <c r="J31" s="14">
        <f>IF(H31&gt;0,H31+I31,"")</f>
        <v/>
      </c>
      <c r="K31" s="14" t="n">
        <v>30700</v>
      </c>
      <c r="L31" s="14" t="n">
        <v>36300</v>
      </c>
      <c r="M31" s="14">
        <f>IF(AND(K31&gt;0,J31&gt;0),K31-J31,"")</f>
        <v/>
      </c>
      <c r="N31" s="14">
        <f>IF(AND(L31&gt;0,J31&gt;0),L31-J31,"")</f>
        <v/>
      </c>
      <c r="O31" s="14">
        <f>D31*K31</f>
        <v/>
      </c>
      <c r="P31" s="14">
        <f>D31*L31</f>
        <v/>
      </c>
      <c r="Q31" s="14">
        <f>IF(I31&gt;0,I31*D31,"")</f>
        <v/>
      </c>
      <c r="R31" s="14">
        <f>IF(J31&gt;0,J31*D31,"")</f>
        <v/>
      </c>
      <c r="S31" s="14">
        <f>IF(R31&gt;0,O31-R31,"")</f>
        <v/>
      </c>
      <c r="T31" s="14">
        <f>IF(R31&gt;0,P31-R31,"")</f>
        <v/>
      </c>
      <c r="U31" s="14">
        <f>ROUND((E31-G31)*D31,0)</f>
        <v/>
      </c>
    </row>
    <row r="32">
      <c r="A32" t="inlineStr">
        <is>
          <t>KSA-FO001</t>
        </is>
      </c>
      <c r="B32" t="inlineStr">
        <is>
          <t>Amortiguador Ford Fiesta Del IZQ</t>
        </is>
      </c>
      <c r="C32" t="inlineStr">
        <is>
          <t>Ford</t>
        </is>
      </c>
      <c r="D32" s="19" t="n">
        <v>1</v>
      </c>
      <c r="E32" s="14" t="n">
        <v>123900</v>
      </c>
      <c r="F32" s="14">
        <f>D32*E32</f>
        <v/>
      </c>
      <c r="G32" s="14" t="n">
        <v>92925</v>
      </c>
      <c r="H32" s="14">
        <f>IF(G32&gt;0,ROUND(G32*1.19,0),"")</f>
        <v/>
      </c>
      <c r="I32" s="14">
        <f>IF(H32&gt;0,ROUND(H32*0.08,0),"")</f>
        <v/>
      </c>
      <c r="J32" s="14">
        <f>IF(H32&gt;0,H32+I32,"")</f>
        <v/>
      </c>
      <c r="K32" s="14" t="n">
        <v>140500</v>
      </c>
      <c r="L32" s="14" t="n">
        <v>159200</v>
      </c>
      <c r="M32" s="14">
        <f>IF(AND(K32&gt;0,J32&gt;0),K32-J32,"")</f>
        <v/>
      </c>
      <c r="N32" s="14">
        <f>IF(AND(L32&gt;0,J32&gt;0),L32-J32,"")</f>
        <v/>
      </c>
      <c r="O32" s="14">
        <f>D32*K32</f>
        <v/>
      </c>
      <c r="P32" s="14">
        <f>D32*L32</f>
        <v/>
      </c>
      <c r="Q32" s="14">
        <f>IF(I32&gt;0,I32*D32,"")</f>
        <v/>
      </c>
      <c r="R32" s="14">
        <f>IF(J32&gt;0,J32*D32,"")</f>
        <v/>
      </c>
      <c r="S32" s="14">
        <f>IF(R32&gt;0,O32-R32,"")</f>
        <v/>
      </c>
      <c r="T32" s="14">
        <f>IF(R32&gt;0,P32-R32,"")</f>
        <v/>
      </c>
      <c r="U32" s="14">
        <f>ROUND((E32-G32)*D32,0)</f>
        <v/>
      </c>
    </row>
    <row r="33">
      <c r="A33" t="inlineStr">
        <is>
          <t>KSA-FO002</t>
        </is>
      </c>
      <c r="B33" t="inlineStr">
        <is>
          <t>Amortiguador Ford Fiesta Del DER</t>
        </is>
      </c>
      <c r="C33" t="inlineStr">
        <is>
          <t>Ford</t>
        </is>
      </c>
      <c r="D33" s="19" t="n">
        <v>1</v>
      </c>
      <c r="E33" s="14" t="n">
        <v>123900</v>
      </c>
      <c r="F33" s="14">
        <f>D33*E33</f>
        <v/>
      </c>
      <c r="G33" s="14" t="n">
        <v>92925</v>
      </c>
      <c r="H33" s="14">
        <f>IF(G33&gt;0,ROUND(G33*1.19,0),"")</f>
        <v/>
      </c>
      <c r="I33" s="14">
        <f>IF(H33&gt;0,ROUND(H33*0.08,0),"")</f>
        <v/>
      </c>
      <c r="J33" s="14">
        <f>IF(H33&gt;0,H33+I33,"")</f>
        <v/>
      </c>
      <c r="K33" s="14" t="n">
        <v>140500</v>
      </c>
      <c r="L33" s="14" t="n">
        <v>159200</v>
      </c>
      <c r="M33" s="14">
        <f>IF(AND(K33&gt;0,J33&gt;0),K33-J33,"")</f>
        <v/>
      </c>
      <c r="N33" s="14">
        <f>IF(AND(L33&gt;0,J33&gt;0),L33-J33,"")</f>
        <v/>
      </c>
      <c r="O33" s="14">
        <f>D33*K33</f>
        <v/>
      </c>
      <c r="P33" s="14">
        <f>D33*L33</f>
        <v/>
      </c>
      <c r="Q33" s="14">
        <f>IF(I33&gt;0,I33*D33,"")</f>
        <v/>
      </c>
      <c r="R33" s="14">
        <f>IF(J33&gt;0,J33*D33,"")</f>
        <v/>
      </c>
      <c r="S33" s="14">
        <f>IF(R33&gt;0,O33-R33,"")</f>
        <v/>
      </c>
      <c r="T33" s="14">
        <f>IF(R33&gt;0,P33-R33,"")</f>
        <v/>
      </c>
      <c r="U33" s="14">
        <f>ROUND((E33-G33)*D33,0)</f>
        <v/>
      </c>
    </row>
    <row r="34">
      <c r="A34" t="inlineStr">
        <is>
          <t>KRE-3103</t>
        </is>
      </c>
      <c r="B34" t="inlineStr">
        <is>
          <t>Terminal Axial Atos-Santro</t>
        </is>
      </c>
      <c r="C34" t="inlineStr">
        <is>
          <t>Hyundai</t>
        </is>
      </c>
      <c r="D34" s="19" t="n">
        <v>2</v>
      </c>
      <c r="E34" s="14" t="n">
        <v>18520</v>
      </c>
      <c r="F34" s="14">
        <f>D34*E34</f>
        <v/>
      </c>
      <c r="G34" s="14" t="n">
        <v>13890</v>
      </c>
      <c r="H34" s="14">
        <f>IF(G34&gt;0,ROUND(G34*1.19,0),"")</f>
        <v/>
      </c>
      <c r="I34" s="14">
        <f>IF(H34&gt;0,ROUND(H34*0.08,0),"")</f>
        <v/>
      </c>
      <c r="J34" s="14">
        <f>IF(H34&gt;0,H34+I34,"")</f>
        <v/>
      </c>
      <c r="K34" s="14" t="n">
        <v>27500</v>
      </c>
      <c r="L34" s="14" t="n">
        <v>32500</v>
      </c>
      <c r="M34" s="14">
        <f>IF(AND(K34&gt;0,J34&gt;0),K34-J34,"")</f>
        <v/>
      </c>
      <c r="N34" s="14">
        <f>IF(AND(L34&gt;0,J34&gt;0),L34-J34,"")</f>
        <v/>
      </c>
      <c r="O34" s="14">
        <f>D34*K34</f>
        <v/>
      </c>
      <c r="P34" s="14">
        <f>D34*L34</f>
        <v/>
      </c>
      <c r="Q34" s="14">
        <f>IF(I34&gt;0,I34*D34,"")</f>
        <v/>
      </c>
      <c r="R34" s="14">
        <f>IF(J34&gt;0,J34*D34,"")</f>
        <v/>
      </c>
      <c r="S34" s="14">
        <f>IF(R34&gt;0,O34-R34,"")</f>
        <v/>
      </c>
      <c r="T34" s="14">
        <f>IF(R34&gt;0,P34-R34,"")</f>
        <v/>
      </c>
      <c r="U34" s="14">
        <f>ROUND((E34-G34)*D34,0)</f>
        <v/>
      </c>
    </row>
    <row r="35">
      <c r="A35" t="inlineStr">
        <is>
          <t>KBJ-4021</t>
        </is>
      </c>
      <c r="B35" t="inlineStr">
        <is>
          <t>Rótula Hyundai Atos-Santro</t>
        </is>
      </c>
      <c r="C35" t="inlineStr">
        <is>
          <t>Hyundai</t>
        </is>
      </c>
      <c r="D35" s="19" t="n">
        <v>2</v>
      </c>
      <c r="E35" s="14" t="n">
        <v>19980</v>
      </c>
      <c r="F35" s="14">
        <f>D35*E35</f>
        <v/>
      </c>
      <c r="G35" s="14" t="n">
        <v>14985</v>
      </c>
      <c r="H35" s="14">
        <f>IF(G35&gt;0,ROUND(G35*1.19,0),"")</f>
        <v/>
      </c>
      <c r="I35" s="14">
        <f>IF(H35&gt;0,ROUND(H35*0.08,0),"")</f>
        <v/>
      </c>
      <c r="J35" s="14">
        <f>IF(H35&gt;0,H35+I35,"")</f>
        <v/>
      </c>
      <c r="K35" s="14" t="n">
        <v>29600</v>
      </c>
      <c r="L35" s="14" t="n">
        <v>35000</v>
      </c>
      <c r="M35" s="14">
        <f>IF(AND(K35&gt;0,J35&gt;0),K35-J35,"")</f>
        <v/>
      </c>
      <c r="N35" s="14">
        <f>IF(AND(L35&gt;0,J35&gt;0),L35-J35,"")</f>
        <v/>
      </c>
      <c r="O35" s="14">
        <f>D35*K35</f>
        <v/>
      </c>
      <c r="P35" s="14">
        <f>D35*L35</f>
        <v/>
      </c>
      <c r="Q35" s="14">
        <f>IF(I35&gt;0,I35*D35,"")</f>
        <v/>
      </c>
      <c r="R35" s="14">
        <f>IF(J35&gt;0,J35*D35,"")</f>
        <v/>
      </c>
      <c r="S35" s="14">
        <f>IF(R35&gt;0,O35-R35,"")</f>
        <v/>
      </c>
      <c r="T35" s="14">
        <f>IF(R35&gt;0,P35-R35,"")</f>
        <v/>
      </c>
      <c r="U35" s="14">
        <f>ROUND((E35-G35)*D35,0)</f>
        <v/>
      </c>
    </row>
    <row r="36">
      <c r="A36" t="inlineStr">
        <is>
          <t>KBJ-4020</t>
        </is>
      </c>
      <c r="B36" t="inlineStr">
        <is>
          <t>ROTULA HYUNDAI ACCENT VISION-KIA SEPHIA</t>
        </is>
      </c>
      <c r="C36" t="inlineStr">
        <is>
          <t>Hyundai/Kia</t>
        </is>
      </c>
      <c r="D36" s="19" t="n">
        <v>2</v>
      </c>
      <c r="E36" s="14" t="n">
        <v>23100</v>
      </c>
      <c r="F36" s="14">
        <f>D36*E36</f>
        <v/>
      </c>
      <c r="G36" s="14" t="n">
        <v>17325</v>
      </c>
      <c r="H36" s="14">
        <f>IF(G36&gt;0,ROUND(G36*1.19,0),"")</f>
        <v/>
      </c>
      <c r="I36" s="14">
        <f>IF(H36&gt;0,ROUND(H36*0.08,0),"")</f>
        <v/>
      </c>
      <c r="J36" s="14">
        <f>IF(H36&gt;0,H36+I36,"")</f>
        <v/>
      </c>
      <c r="K36" s="14" t="n">
        <v>34300</v>
      </c>
      <c r="L36" s="14" t="n">
        <v>40500</v>
      </c>
      <c r="M36" s="14">
        <f>IF(AND(K36&gt;0,J36&gt;0),K36-J36,"")</f>
        <v/>
      </c>
      <c r="N36" s="14">
        <f>IF(AND(L36&gt;0,J36&gt;0),L36-J36,"")</f>
        <v/>
      </c>
      <c r="O36" s="14">
        <f>D36*K36</f>
        <v/>
      </c>
      <c r="P36" s="14">
        <f>D36*L36</f>
        <v/>
      </c>
      <c r="Q36" s="14">
        <f>IF(I36&gt;0,I36*D36,"")</f>
        <v/>
      </c>
      <c r="R36" s="14">
        <f>IF(J36&gt;0,J36*D36,"")</f>
        <v/>
      </c>
      <c r="S36" s="14">
        <f>IF(R36&gt;0,O36-R36,"")</f>
        <v/>
      </c>
      <c r="T36" s="14">
        <f>IF(R36&gt;0,P36-R36,"")</f>
        <v/>
      </c>
      <c r="U36" s="14">
        <f>ROUND((E36-G36)*D36,0)</f>
        <v/>
      </c>
    </row>
    <row r="37">
      <c r="A37" t="inlineStr">
        <is>
          <t>KTR-4204</t>
        </is>
      </c>
      <c r="B37" t="inlineStr">
        <is>
          <t>Terminal Dir H Atos-Santro-i10 / Kia Picanto-Stylus</t>
        </is>
      </c>
      <c r="C37" t="inlineStr">
        <is>
          <t>Hyundai/Kia</t>
        </is>
      </c>
      <c r="D37" s="19" t="n">
        <v>2</v>
      </c>
      <c r="E37" s="14" t="n">
        <v>16680</v>
      </c>
      <c r="F37" s="14">
        <f>D37*E37</f>
        <v/>
      </c>
      <c r="G37" s="14" t="n">
        <v>12510</v>
      </c>
      <c r="H37" s="14">
        <f>IF(G37&gt;0,ROUND(G37*1.19,0),"")</f>
        <v/>
      </c>
      <c r="I37" s="14">
        <f>IF(H37&gt;0,ROUND(H37*0.08,0),"")</f>
        <v/>
      </c>
      <c r="J37" s="14">
        <f>IF(H37&gt;0,H37+I37,"")</f>
        <v/>
      </c>
      <c r="K37" s="14" t="n">
        <v>24700</v>
      </c>
      <c r="L37" s="14" t="n">
        <v>29200</v>
      </c>
      <c r="M37" s="14">
        <f>IF(AND(K37&gt;0,J37&gt;0),K37-J37,"")</f>
        <v/>
      </c>
      <c r="N37" s="14">
        <f>IF(AND(L37&gt;0,J37&gt;0),L37-J37,"")</f>
        <v/>
      </c>
      <c r="O37" s="14">
        <f>D37*K37</f>
        <v/>
      </c>
      <c r="P37" s="14">
        <f>D37*L37</f>
        <v/>
      </c>
      <c r="Q37" s="14">
        <f>IF(I37&gt;0,I37*D37,"")</f>
        <v/>
      </c>
      <c r="R37" s="14">
        <f>IF(J37&gt;0,J37*D37,"")</f>
        <v/>
      </c>
      <c r="S37" s="14">
        <f>IF(R37&gt;0,O37-R37,"")</f>
        <v/>
      </c>
      <c r="T37" s="14">
        <f>IF(R37&gt;0,P37-R37,"")</f>
        <v/>
      </c>
      <c r="U37" s="14">
        <f>ROUND((E37-G37)*D37,0)</f>
        <v/>
      </c>
    </row>
    <row r="38">
      <c r="A38" t="inlineStr">
        <is>
          <t>KTR-4213</t>
        </is>
      </c>
      <c r="B38" t="inlineStr">
        <is>
          <t>Terminal Dir Accent Vision IZQ / Kia Rio Xcite IZQ</t>
        </is>
      </c>
      <c r="C38" t="inlineStr">
        <is>
          <t>Hyundai/Kia</t>
        </is>
      </c>
      <c r="D38" s="19" t="n">
        <v>2</v>
      </c>
      <c r="E38" s="14" t="n">
        <v>28160</v>
      </c>
      <c r="F38" s="14">
        <f>D38*E38</f>
        <v/>
      </c>
      <c r="G38" s="14" t="n">
        <v>21120</v>
      </c>
      <c r="H38" s="14">
        <f>IF(G38&gt;0,ROUND(G38*1.19,0),"")</f>
        <v/>
      </c>
      <c r="I38" s="14">
        <f>IF(H38&gt;0,ROUND(H38*0.08,0),"")</f>
        <v/>
      </c>
      <c r="J38" s="14">
        <f>IF(H38&gt;0,H38+I38,"")</f>
        <v/>
      </c>
      <c r="K38" s="14" t="n">
        <v>41800</v>
      </c>
      <c r="L38" s="14" t="n">
        <v>49400</v>
      </c>
      <c r="M38" s="14">
        <f>IF(AND(K38&gt;0,J38&gt;0),K38-J38,"")</f>
        <v/>
      </c>
      <c r="N38" s="14">
        <f>IF(AND(L38&gt;0,J38&gt;0),L38-J38,"")</f>
        <v/>
      </c>
      <c r="O38" s="14">
        <f>D38*K38</f>
        <v/>
      </c>
      <c r="P38" s="14">
        <f>D38*L38</f>
        <v/>
      </c>
      <c r="Q38" s="14">
        <f>IF(I38&gt;0,I38*D38,"")</f>
        <v/>
      </c>
      <c r="R38" s="14">
        <f>IF(J38&gt;0,J38*D38,"")</f>
        <v/>
      </c>
      <c r="S38" s="14">
        <f>IF(R38&gt;0,O38-R38,"")</f>
        <v/>
      </c>
      <c r="T38" s="14">
        <f>IF(R38&gt;0,P38-R38,"")</f>
        <v/>
      </c>
      <c r="U38" s="14">
        <f>ROUND((E38-G38)*D38,0)</f>
        <v/>
      </c>
    </row>
    <row r="39">
      <c r="A39" t="inlineStr">
        <is>
          <t>KTR-4212</t>
        </is>
      </c>
      <c r="B39" t="inlineStr">
        <is>
          <t>Terminal Dir Accent Vision DER / Kia Rio Xcite DER</t>
        </is>
      </c>
      <c r="C39" t="inlineStr">
        <is>
          <t>Hyundai/Kia</t>
        </is>
      </c>
      <c r="D39" s="19" t="n">
        <v>2</v>
      </c>
      <c r="E39" s="14" t="n">
        <v>28160</v>
      </c>
      <c r="F39" s="14">
        <f>D39*E39</f>
        <v/>
      </c>
      <c r="G39" s="14" t="n">
        <v>21120</v>
      </c>
      <c r="H39" s="14">
        <f>IF(G39&gt;0,ROUND(G39*1.19,0),"")</f>
        <v/>
      </c>
      <c r="I39" s="14">
        <f>IF(H39&gt;0,ROUND(H39*0.08,0),"")</f>
        <v/>
      </c>
      <c r="J39" s="14">
        <f>IF(H39&gt;0,H39+I39,"")</f>
        <v/>
      </c>
      <c r="K39" s="14" t="n">
        <v>41800</v>
      </c>
      <c r="L39" s="14" t="n">
        <v>49400</v>
      </c>
      <c r="M39" s="14">
        <f>IF(AND(K39&gt;0,J39&gt;0),K39-J39,"")</f>
        <v/>
      </c>
      <c r="N39" s="14">
        <f>IF(AND(L39&gt;0,J39&gt;0),L39-J39,"")</f>
        <v/>
      </c>
      <c r="O39" s="14">
        <f>D39*K39</f>
        <v/>
      </c>
      <c r="P39" s="14">
        <f>D39*L39</f>
        <v/>
      </c>
      <c r="Q39" s="14">
        <f>IF(I39&gt;0,I39*D39,"")</f>
        <v/>
      </c>
      <c r="R39" s="14">
        <f>IF(J39&gt;0,J39*D39,"")</f>
        <v/>
      </c>
      <c r="S39" s="14">
        <f>IF(R39&gt;0,O39-R39,"")</f>
        <v/>
      </c>
      <c r="T39" s="14">
        <f>IF(R39&gt;0,P39-R39,"")</f>
        <v/>
      </c>
      <c r="U39" s="14">
        <f>ROUND((E39-G39)*D39,0)</f>
        <v/>
      </c>
    </row>
    <row r="40">
      <c r="A40" t="inlineStr">
        <is>
          <t>KSL-2014</t>
        </is>
      </c>
      <c r="B40" t="inlineStr">
        <is>
          <t>Bieleta Estab. Hyundai i10 Del DER / Grand i10 / Elantra / Kia Picanto Morning</t>
        </is>
      </c>
      <c r="C40" t="inlineStr">
        <is>
          <t>Hyundai/Kia</t>
        </is>
      </c>
      <c r="D40" s="19" t="n">
        <v>2</v>
      </c>
      <c r="E40" s="14" t="n">
        <v>18390</v>
      </c>
      <c r="F40" s="14">
        <f>D40*E40</f>
        <v/>
      </c>
      <c r="G40" s="14" t="n">
        <v>13793</v>
      </c>
      <c r="H40" s="14">
        <f>IF(G40&gt;0,ROUND(G40*1.19,0),"")</f>
        <v/>
      </c>
      <c r="I40" s="14">
        <f>IF(H40&gt;0,ROUND(H40*0.08,0),"")</f>
        <v/>
      </c>
      <c r="J40" s="14">
        <f>IF(H40&gt;0,H40+I40,"")</f>
        <v/>
      </c>
      <c r="K40" s="14" t="n">
        <v>27300</v>
      </c>
      <c r="L40" s="14" t="n">
        <v>32200</v>
      </c>
      <c r="M40" s="14">
        <f>IF(AND(K40&gt;0,J40&gt;0),K40-J40,"")</f>
        <v/>
      </c>
      <c r="N40" s="14">
        <f>IF(AND(L40&gt;0,J40&gt;0),L40-J40,"")</f>
        <v/>
      </c>
      <c r="O40" s="14">
        <f>D40*K40</f>
        <v/>
      </c>
      <c r="P40" s="14">
        <f>D40*L40</f>
        <v/>
      </c>
      <c r="Q40" s="14">
        <f>IF(I40&gt;0,I40*D40,"")</f>
        <v/>
      </c>
      <c r="R40" s="14">
        <f>IF(J40&gt;0,J40*D40,"")</f>
        <v/>
      </c>
      <c r="S40" s="14">
        <f>IF(R40&gt;0,O40-R40,"")</f>
        <v/>
      </c>
      <c r="T40" s="14">
        <f>IF(R40&gt;0,P40-R40,"")</f>
        <v/>
      </c>
      <c r="U40" s="14">
        <f>ROUND((E40-G40)*D40,0)</f>
        <v/>
      </c>
    </row>
    <row r="41">
      <c r="A41" t="inlineStr">
        <is>
          <t>KRE-3102</t>
        </is>
      </c>
      <c r="B41" t="inlineStr">
        <is>
          <t>Terminal Axial Accent Vision / Kia Rio Xcite</t>
        </is>
      </c>
      <c r="C41" t="inlineStr">
        <is>
          <t>Hyundai/Kia</t>
        </is>
      </c>
      <c r="D41" s="19" t="n">
        <v>2</v>
      </c>
      <c r="E41" s="14" t="n">
        <v>26490</v>
      </c>
      <c r="F41" s="14">
        <f>D41*E41</f>
        <v/>
      </c>
      <c r="G41" s="14" t="n">
        <v>19868</v>
      </c>
      <c r="H41" s="14">
        <f>IF(G41&gt;0,ROUND(G41*1.19,0),"")</f>
        <v/>
      </c>
      <c r="I41" s="14">
        <f>IF(H41&gt;0,ROUND(H41*0.08,0),"")</f>
        <v/>
      </c>
      <c r="J41" s="14">
        <f>IF(H41&gt;0,H41+I41,"")</f>
        <v/>
      </c>
      <c r="K41" s="14" t="n">
        <v>39300</v>
      </c>
      <c r="L41" s="14" t="n">
        <v>46400</v>
      </c>
      <c r="M41" s="14">
        <f>IF(AND(K41&gt;0,J41&gt;0),K41-J41,"")</f>
        <v/>
      </c>
      <c r="N41" s="14">
        <f>IF(AND(L41&gt;0,J41&gt;0),L41-J41,"")</f>
        <v/>
      </c>
      <c r="O41" s="14">
        <f>D41*K41</f>
        <v/>
      </c>
      <c r="P41" s="14">
        <f>D41*L41</f>
        <v/>
      </c>
      <c r="Q41" s="14">
        <f>IF(I41&gt;0,I41*D41,"")</f>
        <v/>
      </c>
      <c r="R41" s="14">
        <f>IF(J41&gt;0,J41*D41,"")</f>
        <v/>
      </c>
      <c r="S41" s="14">
        <f>IF(R41&gt;0,O41-R41,"")</f>
        <v/>
      </c>
      <c r="T41" s="14">
        <f>IF(R41&gt;0,P41-R41,"")</f>
        <v/>
      </c>
      <c r="U41" s="14">
        <f>ROUND((E41-G41)*D41,0)</f>
        <v/>
      </c>
    </row>
    <row r="42">
      <c r="A42" t="inlineStr">
        <is>
          <t>KSL-2003</t>
        </is>
      </c>
      <c r="B42" t="inlineStr">
        <is>
          <t>Bieleta Estab. Accent Vision / Kia Rio Xcite IZQ</t>
        </is>
      </c>
      <c r="C42" t="inlineStr">
        <is>
          <t>Hyundai/Kia</t>
        </is>
      </c>
      <c r="D42" s="19" t="n">
        <v>2</v>
      </c>
      <c r="E42" s="14" t="n">
        <v>20020</v>
      </c>
      <c r="F42" s="14">
        <f>D42*E42</f>
        <v/>
      </c>
      <c r="G42" s="14" t="n">
        <v>15015</v>
      </c>
      <c r="H42" s="14">
        <f>IF(G42&gt;0,ROUND(G42*1.19,0),"")</f>
        <v/>
      </c>
      <c r="I42" s="14">
        <f>IF(H42&gt;0,ROUND(H42*0.08,0),"")</f>
        <v/>
      </c>
      <c r="J42" s="14">
        <f>IF(H42&gt;0,H42+I42,"")</f>
        <v/>
      </c>
      <c r="K42" s="14" t="n">
        <v>29700</v>
      </c>
      <c r="L42" s="14" t="n">
        <v>35100</v>
      </c>
      <c r="M42" s="14">
        <f>IF(AND(K42&gt;0,J42&gt;0),K42-J42,"")</f>
        <v/>
      </c>
      <c r="N42" s="14">
        <f>IF(AND(L42&gt;0,J42&gt;0),L42-J42,"")</f>
        <v/>
      </c>
      <c r="O42" s="14">
        <f>D42*K42</f>
        <v/>
      </c>
      <c r="P42" s="14">
        <f>D42*L42</f>
        <v/>
      </c>
      <c r="Q42" s="14">
        <f>IF(I42&gt;0,I42*D42,"")</f>
        <v/>
      </c>
      <c r="R42" s="14">
        <f>IF(J42&gt;0,J42*D42,"")</f>
        <v/>
      </c>
      <c r="S42" s="14">
        <f>IF(R42&gt;0,O42-R42,"")</f>
        <v/>
      </c>
      <c r="T42" s="14">
        <f>IF(R42&gt;0,P42-R42,"")</f>
        <v/>
      </c>
      <c r="U42" s="14">
        <f>ROUND((E42-G42)*D42,0)</f>
        <v/>
      </c>
    </row>
    <row r="43">
      <c r="A43" t="inlineStr">
        <is>
          <t>KSL-2002</t>
        </is>
      </c>
      <c r="B43" t="inlineStr">
        <is>
          <t>Bieleta Estab. Accent Vision / Kia Rio Xcite DER</t>
        </is>
      </c>
      <c r="C43" t="inlineStr">
        <is>
          <t>Hyundai/Kia</t>
        </is>
      </c>
      <c r="D43" s="19" t="n">
        <v>2</v>
      </c>
      <c r="E43" s="14" t="n">
        <v>20020</v>
      </c>
      <c r="F43" s="14">
        <f>D43*E43</f>
        <v/>
      </c>
      <c r="G43" s="14" t="n">
        <v>15015</v>
      </c>
      <c r="H43" s="14">
        <f>IF(G43&gt;0,ROUND(G43*1.19,0),"")</f>
        <v/>
      </c>
      <c r="I43" s="14">
        <f>IF(H43&gt;0,ROUND(H43*0.08,0),"")</f>
        <v/>
      </c>
      <c r="J43" s="14">
        <f>IF(H43&gt;0,H43+I43,"")</f>
        <v/>
      </c>
      <c r="K43" s="14" t="n">
        <v>29700</v>
      </c>
      <c r="L43" s="14" t="n">
        <v>35100</v>
      </c>
      <c r="M43" s="14">
        <f>IF(AND(K43&gt;0,J43&gt;0),K43-J43,"")</f>
        <v/>
      </c>
      <c r="N43" s="14">
        <f>IF(AND(L43&gt;0,J43&gt;0),L43-J43,"")</f>
        <v/>
      </c>
      <c r="O43" s="14">
        <f>D43*K43</f>
        <v/>
      </c>
      <c r="P43" s="14">
        <f>D43*L43</f>
        <v/>
      </c>
      <c r="Q43" s="14">
        <f>IF(I43&gt;0,I43*D43,"")</f>
        <v/>
      </c>
      <c r="R43" s="14">
        <f>IF(J43&gt;0,J43*D43,"")</f>
        <v/>
      </c>
      <c r="S43" s="14">
        <f>IF(R43&gt;0,O43-R43,"")</f>
        <v/>
      </c>
      <c r="T43" s="14">
        <f>IF(R43&gt;0,P43-R43,"")</f>
        <v/>
      </c>
      <c r="U43" s="14">
        <f>ROUND((E43-G43)*D43,0)</f>
        <v/>
      </c>
    </row>
    <row r="44">
      <c r="A44" t="inlineStr">
        <is>
          <t>KSL-2013</t>
        </is>
      </c>
      <c r="B44" t="inlineStr">
        <is>
          <t>Bieleta Estab. Hyundai i10 Del IZQ / Grand i10 / Elantra / Kia Picanto Morning</t>
        </is>
      </c>
      <c r="C44" t="inlineStr">
        <is>
          <t>Hyundai/Kia</t>
        </is>
      </c>
      <c r="D44" s="19" t="n">
        <v>2</v>
      </c>
      <c r="E44" s="14" t="n">
        <v>18390</v>
      </c>
      <c r="F44" s="14">
        <f>D44*E44</f>
        <v/>
      </c>
      <c r="G44" s="14" t="n">
        <v>13793</v>
      </c>
      <c r="H44" s="14">
        <f>IF(G44&gt;0,ROUND(G44*1.19,0),"")</f>
        <v/>
      </c>
      <c r="I44" s="14">
        <f>IF(H44&gt;0,ROUND(H44*0.08,0),"")</f>
        <v/>
      </c>
      <c r="J44" s="14">
        <f>IF(H44&gt;0,H44+I44,"")</f>
        <v/>
      </c>
      <c r="K44" s="14" t="n">
        <v>27300</v>
      </c>
      <c r="L44" s="14" t="n">
        <v>32200</v>
      </c>
      <c r="M44" s="14">
        <f>IF(AND(K44&gt;0,J44&gt;0),K44-J44,"")</f>
        <v/>
      </c>
      <c r="N44" s="14">
        <f>IF(AND(L44&gt;0,J44&gt;0),L44-J44,"")</f>
        <v/>
      </c>
      <c r="O44" s="14">
        <f>D44*K44</f>
        <v/>
      </c>
      <c r="P44" s="14">
        <f>D44*L44</f>
        <v/>
      </c>
      <c r="Q44" s="14">
        <f>IF(I44&gt;0,I44*D44,"")</f>
        <v/>
      </c>
      <c r="R44" s="14">
        <f>IF(J44&gt;0,J44*D44,"")</f>
        <v/>
      </c>
      <c r="S44" s="14">
        <f>IF(R44&gt;0,O44-R44,"")</f>
        <v/>
      </c>
      <c r="T44" s="14">
        <f>IF(R44&gt;0,P44-R44,"")</f>
        <v/>
      </c>
      <c r="U44" s="14">
        <f>ROUND((E44-G44)*D44,0)</f>
        <v/>
      </c>
    </row>
    <row r="45">
      <c r="A45" t="inlineStr">
        <is>
          <t>KSA-HY014</t>
        </is>
      </c>
      <c r="B45" t="inlineStr">
        <is>
          <t>Amortiguador Accent Vision / Kia Rio Xcite DEL DER</t>
        </is>
      </c>
      <c r="C45" t="inlineStr">
        <is>
          <t>Hyundai/Kia</t>
        </is>
      </c>
      <c r="D45" s="19" t="n">
        <v>1</v>
      </c>
      <c r="E45" s="14" t="n">
        <v>117260</v>
      </c>
      <c r="F45" s="14">
        <f>D45*E45</f>
        <v/>
      </c>
      <c r="G45" s="14" t="n">
        <v>87945</v>
      </c>
      <c r="H45" s="14">
        <f>IF(G45&gt;0,ROUND(G45*1.19,0),"")</f>
        <v/>
      </c>
      <c r="I45" s="14">
        <f>IF(H45&gt;0,ROUND(H45*0.08,0),"")</f>
        <v/>
      </c>
      <c r="J45" s="14">
        <f>IF(H45&gt;0,H45+I45,"")</f>
        <v/>
      </c>
      <c r="K45" s="14" t="n">
        <v>133000</v>
      </c>
      <c r="L45" s="14" t="n">
        <v>150700</v>
      </c>
      <c r="M45" s="14">
        <f>IF(AND(K45&gt;0,J45&gt;0),K45-J45,"")</f>
        <v/>
      </c>
      <c r="N45" s="14">
        <f>IF(AND(L45&gt;0,J45&gt;0),L45-J45,"")</f>
        <v/>
      </c>
      <c r="O45" s="14">
        <f>D45*K45</f>
        <v/>
      </c>
      <c r="P45" s="14">
        <f>D45*L45</f>
        <v/>
      </c>
      <c r="Q45" s="14">
        <f>IF(I45&gt;0,I45*D45,"")</f>
        <v/>
      </c>
      <c r="R45" s="14">
        <f>IF(J45&gt;0,J45*D45,"")</f>
        <v/>
      </c>
      <c r="S45" s="14">
        <f>IF(R45&gt;0,O45-R45,"")</f>
        <v/>
      </c>
      <c r="T45" s="14">
        <f>IF(R45&gt;0,P45-R45,"")</f>
        <v/>
      </c>
      <c r="U45" s="14">
        <f>ROUND((E45-G45)*D45,0)</f>
        <v/>
      </c>
    </row>
    <row r="46">
      <c r="A46" t="inlineStr">
        <is>
          <t>KSA-HY015</t>
        </is>
      </c>
      <c r="B46" t="inlineStr">
        <is>
          <t>Amortiguador Accent Vision / Kia Rio Xcite DEL IZQ</t>
        </is>
      </c>
      <c r="C46" t="inlineStr">
        <is>
          <t>Hyundai/Kia</t>
        </is>
      </c>
      <c r="D46" s="19" t="n">
        <v>1</v>
      </c>
      <c r="E46" s="14" t="n">
        <v>117260</v>
      </c>
      <c r="F46" s="14">
        <f>D46*E46</f>
        <v/>
      </c>
      <c r="G46" s="14" t="n">
        <v>87945</v>
      </c>
      <c r="H46" s="14">
        <f>IF(G46&gt;0,ROUND(G46*1.19,0),"")</f>
        <v/>
      </c>
      <c r="I46" s="14">
        <f>IF(H46&gt;0,ROUND(H46*0.08,0),"")</f>
        <v/>
      </c>
      <c r="J46" s="14">
        <f>IF(H46&gt;0,H46+I46,"")</f>
        <v/>
      </c>
      <c r="K46" s="14" t="n">
        <v>133000</v>
      </c>
      <c r="L46" s="14" t="n">
        <v>150700</v>
      </c>
      <c r="M46" s="14">
        <f>IF(AND(K46&gt;0,J46&gt;0),K46-J46,"")</f>
        <v/>
      </c>
      <c r="N46" s="14">
        <f>IF(AND(L46&gt;0,J46&gt;0),L46-J46,"")</f>
        <v/>
      </c>
      <c r="O46" s="14">
        <f>D46*K46</f>
        <v/>
      </c>
      <c r="P46" s="14">
        <f>D46*L46</f>
        <v/>
      </c>
      <c r="Q46" s="14">
        <f>IF(I46&gt;0,I46*D46,"")</f>
        <v/>
      </c>
      <c r="R46" s="14">
        <f>IF(J46&gt;0,J46*D46,"")</f>
        <v/>
      </c>
      <c r="S46" s="14">
        <f>IF(R46&gt;0,O46-R46,"")</f>
        <v/>
      </c>
      <c r="T46" s="14">
        <f>IF(R46&gt;0,P46-R46,"")</f>
        <v/>
      </c>
      <c r="U46" s="14">
        <f>ROUND((E46-G46)*D46,0)</f>
        <v/>
      </c>
    </row>
    <row r="47">
      <c r="A47" t="inlineStr">
        <is>
          <t>KBJ-4023</t>
        </is>
      </c>
      <c r="B47" t="inlineStr">
        <is>
          <t>Rótula Hyundai i10 EON / Kia Picanto Morning Presión</t>
        </is>
      </c>
      <c r="C47" t="inlineStr">
        <is>
          <t>Hyundai/Kia</t>
        </is>
      </c>
      <c r="D47" s="19" t="n">
        <v>2</v>
      </c>
      <c r="E47" s="14" t="n">
        <v>19980</v>
      </c>
      <c r="F47" s="14">
        <f>D47*E47</f>
        <v/>
      </c>
      <c r="G47" s="14" t="n">
        <v>14985</v>
      </c>
      <c r="H47" s="14">
        <f>IF(G47&gt;0,ROUND(G47*1.19,0),"")</f>
        <v/>
      </c>
      <c r="I47" s="14">
        <f>IF(H47&gt;0,ROUND(H47*0.08,0),"")</f>
        <v/>
      </c>
      <c r="J47" s="14">
        <f>IF(H47&gt;0,H47+I47,"")</f>
        <v/>
      </c>
      <c r="K47" s="14" t="n">
        <v>29600</v>
      </c>
      <c r="L47" s="14" t="n">
        <v>35000</v>
      </c>
      <c r="M47" s="14">
        <f>IF(AND(K47&gt;0,J47&gt;0),K47-J47,"")</f>
        <v/>
      </c>
      <c r="N47" s="14">
        <f>IF(AND(L47&gt;0,J47&gt;0),L47-J47,"")</f>
        <v/>
      </c>
      <c r="O47" s="14">
        <f>D47*K47</f>
        <v/>
      </c>
      <c r="P47" s="14">
        <f>D47*L47</f>
        <v/>
      </c>
      <c r="Q47" s="14">
        <f>IF(I47&gt;0,I47*D47,"")</f>
        <v/>
      </c>
      <c r="R47" s="14">
        <f>IF(J47&gt;0,J47*D47,"")</f>
        <v/>
      </c>
      <c r="S47" s="14">
        <f>IF(R47&gt;0,O47-R47,"")</f>
        <v/>
      </c>
      <c r="T47" s="14">
        <f>IF(R47&gt;0,P47-R47,"")</f>
        <v/>
      </c>
      <c r="U47" s="14">
        <f>ROUND((E47-G47)*D47,0)</f>
        <v/>
      </c>
    </row>
    <row r="48">
      <c r="A48" t="inlineStr">
        <is>
          <t>KSA-HY016</t>
        </is>
      </c>
      <c r="B48" t="inlineStr">
        <is>
          <t>Amortiguador Accent Vision / Kia Rio Xcite TRAS (x2)</t>
        </is>
      </c>
      <c r="C48" t="inlineStr">
        <is>
          <t>Hyundai/Kia</t>
        </is>
      </c>
      <c r="D48" s="19" t="n">
        <v>2</v>
      </c>
      <c r="E48" s="14" t="n">
        <v>63230</v>
      </c>
      <c r="F48" s="14">
        <f>D48*E48</f>
        <v/>
      </c>
      <c r="G48" s="14" t="n">
        <v>47423</v>
      </c>
      <c r="H48" s="14">
        <f>IF(G48&gt;0,ROUND(G48*1.19,0),"")</f>
        <v/>
      </c>
      <c r="I48" s="14">
        <f>IF(H48&gt;0,ROUND(H48*0.08,0),"")</f>
        <v/>
      </c>
      <c r="J48" s="14">
        <f>IF(H48&gt;0,H48+I48,"")</f>
        <v/>
      </c>
      <c r="K48" s="14" t="n">
        <v>81300</v>
      </c>
      <c r="L48" s="14" t="n">
        <v>93800</v>
      </c>
      <c r="M48" s="14">
        <f>IF(AND(K48&gt;0,J48&gt;0),K48-J48,"")</f>
        <v/>
      </c>
      <c r="N48" s="14">
        <f>IF(AND(L48&gt;0,J48&gt;0),L48-J48,"")</f>
        <v/>
      </c>
      <c r="O48" s="14">
        <f>D48*K48</f>
        <v/>
      </c>
      <c r="P48" s="14">
        <f>D48*L48</f>
        <v/>
      </c>
      <c r="Q48" s="14">
        <f>IF(I48&gt;0,I48*D48,"")</f>
        <v/>
      </c>
      <c r="R48" s="14">
        <f>IF(J48&gt;0,J48*D48,"")</f>
        <v/>
      </c>
      <c r="S48" s="14">
        <f>IF(R48&gt;0,O48-R48,"")</f>
        <v/>
      </c>
      <c r="T48" s="14">
        <f>IF(R48&gt;0,P48-R48,"")</f>
        <v/>
      </c>
      <c r="U48" s="14">
        <f>ROUND((E48-G48)*D48,0)</f>
        <v/>
      </c>
    </row>
    <row r="49">
      <c r="A49" t="inlineStr">
        <is>
          <t>KSA-KI024</t>
        </is>
      </c>
      <c r="B49" t="inlineStr">
        <is>
          <t>Amortiguador Picanto ION Delantero Der GAS</t>
        </is>
      </c>
      <c r="C49" t="inlineStr">
        <is>
          <t>Kia</t>
        </is>
      </c>
      <c r="D49" s="19" t="n">
        <v>1</v>
      </c>
      <c r="E49" s="14" t="n">
        <v>90640</v>
      </c>
      <c r="F49" s="14">
        <f>D49*E49</f>
        <v/>
      </c>
      <c r="G49" s="14" t="n">
        <v>67980</v>
      </c>
      <c r="H49" s="14">
        <f>IF(G49&gt;0,ROUND(G49*1.19,0),"")</f>
        <v/>
      </c>
      <c r="I49" s="14">
        <f>IF(H49&gt;0,ROUND(H49*0.08,0),"")</f>
        <v/>
      </c>
      <c r="J49" s="14">
        <f>IF(H49&gt;0,H49+I49,"")</f>
        <v/>
      </c>
      <c r="K49" s="14" t="n">
        <v>116500</v>
      </c>
      <c r="L49" s="14" t="n">
        <v>134400</v>
      </c>
      <c r="M49" s="14">
        <f>IF(AND(K49&gt;0,J49&gt;0),K49-J49,"")</f>
        <v/>
      </c>
      <c r="N49" s="14">
        <f>IF(AND(L49&gt;0,J49&gt;0),L49-J49,"")</f>
        <v/>
      </c>
      <c r="O49" s="14">
        <f>D49*K49</f>
        <v/>
      </c>
      <c r="P49" s="14">
        <f>D49*L49</f>
        <v/>
      </c>
      <c r="Q49" s="14">
        <f>IF(I49&gt;0,I49*D49,"")</f>
        <v/>
      </c>
      <c r="R49" s="14">
        <f>IF(J49&gt;0,J49*D49,"")</f>
        <v/>
      </c>
      <c r="S49" s="14">
        <f>IF(R49&gt;0,O49-R49,"")</f>
        <v/>
      </c>
      <c r="T49" s="14">
        <f>IF(R49&gt;0,P49-R49,"")</f>
        <v/>
      </c>
      <c r="U49" s="14">
        <f>ROUND((E49-G49)*D49,0)</f>
        <v/>
      </c>
    </row>
    <row r="50">
      <c r="A50" t="inlineStr">
        <is>
          <t>KTR-4217</t>
        </is>
      </c>
      <c r="B50" t="inlineStr">
        <is>
          <t>Terminal Dirección Picanto 17-12 ION Xtreme 1.2 IZQ</t>
        </is>
      </c>
      <c r="C50" t="inlineStr">
        <is>
          <t>Kia</t>
        </is>
      </c>
      <c r="D50" s="19" t="n">
        <v>2</v>
      </c>
      <c r="E50" s="14" t="n">
        <v>31280</v>
      </c>
      <c r="F50" s="14">
        <f>D50*E50</f>
        <v/>
      </c>
      <c r="G50" s="14" t="n">
        <v>23460</v>
      </c>
      <c r="H50" s="14">
        <f>IF(G50&gt;0,ROUND(G50*1.19,0),"")</f>
        <v/>
      </c>
      <c r="I50" s="14">
        <f>IF(H50&gt;0,ROUND(H50*0.08,0),"")</f>
        <v/>
      </c>
      <c r="J50" s="14">
        <f>IF(H50&gt;0,H50+I50,"")</f>
        <v/>
      </c>
      <c r="K50" s="14" t="n">
        <v>46400</v>
      </c>
      <c r="L50" s="14" t="n">
        <v>54800</v>
      </c>
      <c r="M50" s="14">
        <f>IF(AND(K50&gt;0,J50&gt;0),K50-J50,"")</f>
        <v/>
      </c>
      <c r="N50" s="14">
        <f>IF(AND(L50&gt;0,J50&gt;0),L50-J50,"")</f>
        <v/>
      </c>
      <c r="O50" s="14">
        <f>D50*K50</f>
        <v/>
      </c>
      <c r="P50" s="14">
        <f>D50*L50</f>
        <v/>
      </c>
      <c r="Q50" s="14">
        <f>IF(I50&gt;0,I50*D50,"")</f>
        <v/>
      </c>
      <c r="R50" s="14">
        <f>IF(J50&gt;0,J50*D50,"")</f>
        <v/>
      </c>
      <c r="S50" s="14">
        <f>IF(R50&gt;0,O50-R50,"")</f>
        <v/>
      </c>
      <c r="T50" s="14">
        <f>IF(R50&gt;0,P50-R50,"")</f>
        <v/>
      </c>
      <c r="U50" s="14">
        <f>ROUND((E50-G50)*D50,0)</f>
        <v/>
      </c>
    </row>
    <row r="51">
      <c r="A51" t="inlineStr">
        <is>
          <t>KTR-4223</t>
        </is>
      </c>
      <c r="B51" t="inlineStr">
        <is>
          <t>Terminal Dirección Picanto 20-18 ION IZQ</t>
        </is>
      </c>
      <c r="C51" t="inlineStr">
        <is>
          <t>Kia</t>
        </is>
      </c>
      <c r="D51" s="19" t="n">
        <v>2</v>
      </c>
      <c r="E51" s="14" t="n">
        <v>28470</v>
      </c>
      <c r="F51" s="14">
        <f>D51*E51</f>
        <v/>
      </c>
      <c r="G51" s="14" t="n">
        <v>21353</v>
      </c>
      <c r="H51" s="14">
        <f>IF(G51&gt;0,ROUND(G51*1.19,0),"")</f>
        <v/>
      </c>
      <c r="I51" s="14">
        <f>IF(H51&gt;0,ROUND(H51*0.08,0),"")</f>
        <v/>
      </c>
      <c r="J51" s="14">
        <f>IF(H51&gt;0,H51+I51,"")</f>
        <v/>
      </c>
      <c r="K51" s="14" t="n">
        <v>42200</v>
      </c>
      <c r="L51" s="14" t="n">
        <v>49900</v>
      </c>
      <c r="M51" s="14">
        <f>IF(AND(K51&gt;0,J51&gt;0),K51-J51,"")</f>
        <v/>
      </c>
      <c r="N51" s="14">
        <f>IF(AND(L51&gt;0,J51&gt;0),L51-J51,"")</f>
        <v/>
      </c>
      <c r="O51" s="14">
        <f>D51*K51</f>
        <v/>
      </c>
      <c r="P51" s="14">
        <f>D51*L51</f>
        <v/>
      </c>
      <c r="Q51" s="14">
        <f>IF(I51&gt;0,I51*D51,"")</f>
        <v/>
      </c>
      <c r="R51" s="14">
        <f>IF(J51&gt;0,J51*D51,"")</f>
        <v/>
      </c>
      <c r="S51" s="14">
        <f>IF(R51&gt;0,O51-R51,"")</f>
        <v/>
      </c>
      <c r="T51" s="14">
        <f>IF(R51&gt;0,P51-R51,"")</f>
        <v/>
      </c>
      <c r="U51" s="14">
        <f>ROUND((E51-G51)*D51,0)</f>
        <v/>
      </c>
    </row>
    <row r="52">
      <c r="A52" t="inlineStr">
        <is>
          <t>KTR-4222</t>
        </is>
      </c>
      <c r="B52" t="inlineStr">
        <is>
          <t>Terminal Dir Kia Picanto 20-18 ION DER</t>
        </is>
      </c>
      <c r="C52" t="inlineStr">
        <is>
          <t>Kia</t>
        </is>
      </c>
      <c r="D52" s="19" t="n">
        <v>2</v>
      </c>
      <c r="E52" s="14" t="n">
        <v>28470</v>
      </c>
      <c r="F52" s="14">
        <f>D52*E52</f>
        <v/>
      </c>
      <c r="G52" s="14" t="n">
        <v>21353</v>
      </c>
      <c r="H52" s="14">
        <f>IF(G52&gt;0,ROUND(G52*1.19,0),"")</f>
        <v/>
      </c>
      <c r="I52" s="14">
        <f>IF(H52&gt;0,ROUND(H52*0.08,0),"")</f>
        <v/>
      </c>
      <c r="J52" s="14">
        <f>IF(H52&gt;0,H52+I52,"")</f>
        <v/>
      </c>
      <c r="K52" s="14" t="n">
        <v>42200</v>
      </c>
      <c r="L52" s="14" t="n">
        <v>49900</v>
      </c>
      <c r="M52" s="14">
        <f>IF(AND(K52&gt;0,J52&gt;0),K52-J52,"")</f>
        <v/>
      </c>
      <c r="N52" s="14">
        <f>IF(AND(L52&gt;0,J52&gt;0),L52-J52,"")</f>
        <v/>
      </c>
      <c r="O52" s="14">
        <f>D52*K52</f>
        <v/>
      </c>
      <c r="P52" s="14">
        <f>D52*L52</f>
        <v/>
      </c>
      <c r="Q52" s="14">
        <f>IF(I52&gt;0,I52*D52,"")</f>
        <v/>
      </c>
      <c r="R52" s="14">
        <f>IF(J52&gt;0,J52*D52,"")</f>
        <v/>
      </c>
      <c r="S52" s="14">
        <f>IF(R52&gt;0,O52-R52,"")</f>
        <v/>
      </c>
      <c r="T52" s="14">
        <f>IF(R52&gt;0,P52-R52,"")</f>
        <v/>
      </c>
      <c r="U52" s="14">
        <f>ROUND((E52-G52)*D52,0)</f>
        <v/>
      </c>
    </row>
    <row r="53">
      <c r="A53" t="inlineStr">
        <is>
          <t>KSA-KI025</t>
        </is>
      </c>
      <c r="B53" t="inlineStr">
        <is>
          <t>Amortiguador Kia Picanto 17-13 ION Del IZQ GAS</t>
        </is>
      </c>
      <c r="C53" t="inlineStr">
        <is>
          <t>Kia</t>
        </is>
      </c>
      <c r="D53" s="19" t="n">
        <v>1</v>
      </c>
      <c r="E53" s="14" t="n">
        <v>90640</v>
      </c>
      <c r="F53" s="14">
        <f>D53*E53</f>
        <v/>
      </c>
      <c r="G53" s="14" t="n">
        <v>67980</v>
      </c>
      <c r="H53" s="14">
        <f>IF(G53&gt;0,ROUND(G53*1.19,0),"")</f>
        <v/>
      </c>
      <c r="I53" s="14">
        <f>IF(H53&gt;0,ROUND(H53*0.08,0),"")</f>
        <v/>
      </c>
      <c r="J53" s="14">
        <f>IF(H53&gt;0,H53+I53,"")</f>
        <v/>
      </c>
      <c r="K53" s="14" t="n">
        <v>116500</v>
      </c>
      <c r="L53" s="14" t="n">
        <v>134400</v>
      </c>
      <c r="M53" s="14">
        <f>IF(AND(K53&gt;0,J53&gt;0),K53-J53,"")</f>
        <v/>
      </c>
      <c r="N53" s="14">
        <f>IF(AND(L53&gt;0,J53&gt;0),L53-J53,"")</f>
        <v/>
      </c>
      <c r="O53" s="14">
        <f>D53*K53</f>
        <v/>
      </c>
      <c r="P53" s="14">
        <f>D53*L53</f>
        <v/>
      </c>
      <c r="Q53" s="14">
        <f>IF(I53&gt;0,I53*D53,"")</f>
        <v/>
      </c>
      <c r="R53" s="14">
        <f>IF(J53&gt;0,J53*D53,"")</f>
        <v/>
      </c>
      <c r="S53" s="14">
        <f>IF(R53&gt;0,O53-R53,"")</f>
        <v/>
      </c>
      <c r="T53" s="14">
        <f>IF(R53&gt;0,P53-R53,"")</f>
        <v/>
      </c>
      <c r="U53" s="14">
        <f>ROUND((E53-G53)*D53,0)</f>
        <v/>
      </c>
    </row>
    <row r="54">
      <c r="A54" t="inlineStr">
        <is>
          <t>KRE-3114</t>
        </is>
      </c>
      <c r="B54" t="inlineStr">
        <is>
          <t>Terminal Axial Kia Picanto ION / Hyundai i10 Hidráulico</t>
        </is>
      </c>
      <c r="C54" t="inlineStr">
        <is>
          <t>Kia/Hyundai</t>
        </is>
      </c>
      <c r="D54" s="19" t="n">
        <v>2</v>
      </c>
      <c r="E54" s="14" t="n">
        <v>22040</v>
      </c>
      <c r="F54" s="14">
        <f>D54*E54</f>
        <v/>
      </c>
      <c r="G54" s="14" t="n">
        <v>16530</v>
      </c>
      <c r="H54" s="14">
        <f>IF(G54&gt;0,ROUND(G54*1.19,0),"")</f>
        <v/>
      </c>
      <c r="I54" s="14">
        <f>IF(H54&gt;0,ROUND(H54*0.08,0),"")</f>
        <v/>
      </c>
      <c r="J54" s="14">
        <f>IF(H54&gt;0,H54+I54,"")</f>
        <v/>
      </c>
      <c r="K54" s="14" t="n">
        <v>32700</v>
      </c>
      <c r="L54" s="14" t="n">
        <v>38600</v>
      </c>
      <c r="M54" s="14">
        <f>IF(AND(K54&gt;0,J54&gt;0),K54-J54,"")</f>
        <v/>
      </c>
      <c r="N54" s="14">
        <f>IF(AND(L54&gt;0,J54&gt;0),L54-J54,"")</f>
        <v/>
      </c>
      <c r="O54" s="14">
        <f>D54*K54</f>
        <v/>
      </c>
      <c r="P54" s="14">
        <f>D54*L54</f>
        <v/>
      </c>
      <c r="Q54" s="14">
        <f>IF(I54&gt;0,I54*D54,"")</f>
        <v/>
      </c>
      <c r="R54" s="14">
        <f>IF(J54&gt;0,J54*D54,"")</f>
        <v/>
      </c>
      <c r="S54" s="14">
        <f>IF(R54&gt;0,O54-R54,"")</f>
        <v/>
      </c>
      <c r="T54" s="14">
        <f>IF(R54&gt;0,P54-R54,"")</f>
        <v/>
      </c>
      <c r="U54" s="14">
        <f>ROUND((E54-G54)*D54,0)</f>
        <v/>
      </c>
    </row>
    <row r="55">
      <c r="A55" t="inlineStr">
        <is>
          <t>KBJ-4030</t>
        </is>
      </c>
      <c r="B55" t="inlineStr">
        <is>
          <t>Rótula Kia Picanto ION-Spice 1 Soul / Hyundai i10 Grand Presión</t>
        </is>
      </c>
      <c r="C55" t="inlineStr">
        <is>
          <t>Kia/Hyundai</t>
        </is>
      </c>
      <c r="D55" s="19" t="n">
        <v>2</v>
      </c>
      <c r="E55" s="14" t="n">
        <v>19840</v>
      </c>
      <c r="F55" s="14">
        <f>D55*E55</f>
        <v/>
      </c>
      <c r="G55" s="14" t="n">
        <v>14880</v>
      </c>
      <c r="H55" s="14">
        <f>IF(G55&gt;0,ROUND(G55*1.19,0),"")</f>
        <v/>
      </c>
      <c r="I55" s="14">
        <f>IF(H55&gt;0,ROUND(H55*0.08,0),"")</f>
        <v/>
      </c>
      <c r="J55" s="14">
        <f>IF(H55&gt;0,H55+I55,"")</f>
        <v/>
      </c>
      <c r="K55" s="14" t="n">
        <v>29400</v>
      </c>
      <c r="L55" s="14" t="n">
        <v>34800</v>
      </c>
      <c r="M55" s="14">
        <f>IF(AND(K55&gt;0,J55&gt;0),K55-J55,"")</f>
        <v/>
      </c>
      <c r="N55" s="14">
        <f>IF(AND(L55&gt;0,J55&gt;0),L55-J55,"")</f>
        <v/>
      </c>
      <c r="O55" s="14">
        <f>D55*K55</f>
        <v/>
      </c>
      <c r="P55" s="14">
        <f>D55*L55</f>
        <v/>
      </c>
      <c r="Q55" s="14">
        <f>IF(I55&gt;0,I55*D55,"")</f>
        <v/>
      </c>
      <c r="R55" s="14">
        <f>IF(J55&gt;0,J55*D55,"")</f>
        <v/>
      </c>
      <c r="S55" s="14">
        <f>IF(R55&gt;0,O55-R55,"")</f>
        <v/>
      </c>
      <c r="T55" s="14">
        <f>IF(R55&gt;0,P55-R55,"")</f>
        <v/>
      </c>
      <c r="U55" s="14">
        <f>ROUND((E55-G55)*D55,0)</f>
        <v/>
      </c>
    </row>
    <row r="56">
      <c r="A56" t="inlineStr">
        <is>
          <t>KBJ-4042</t>
        </is>
      </c>
      <c r="B56" t="inlineStr">
        <is>
          <t>Rótula BT-50 4x2 4x4 SUP Gasol B2000-2200 SUP</t>
        </is>
      </c>
      <c r="C56" t="inlineStr">
        <is>
          <t>Mazda</t>
        </is>
      </c>
      <c r="D56" s="19" t="n">
        <v>2</v>
      </c>
      <c r="E56" s="14" t="n">
        <v>26360</v>
      </c>
      <c r="F56" s="14">
        <f>D56*E56</f>
        <v/>
      </c>
      <c r="G56" s="14" t="n">
        <v>19770</v>
      </c>
      <c r="H56" s="14">
        <f>IF(G56&gt;0,ROUND(G56*1.19,0),"")</f>
        <v/>
      </c>
      <c r="I56" s="14">
        <f>IF(H56&gt;0,ROUND(H56*0.08,0),"")</f>
        <v/>
      </c>
      <c r="J56" s="14">
        <f>IF(H56&gt;0,H56+I56,"")</f>
        <v/>
      </c>
      <c r="K56" s="14" t="n">
        <v>39100</v>
      </c>
      <c r="L56" s="14" t="n">
        <v>46200</v>
      </c>
      <c r="M56" s="14">
        <f>IF(AND(K56&gt;0,J56&gt;0),K56-J56,"")</f>
        <v/>
      </c>
      <c r="N56" s="14">
        <f>IF(AND(L56&gt;0,J56&gt;0),L56-J56,"")</f>
        <v/>
      </c>
      <c r="O56" s="14">
        <f>D56*K56</f>
        <v/>
      </c>
      <c r="P56" s="14">
        <f>D56*L56</f>
        <v/>
      </c>
      <c r="Q56" s="14">
        <f>IF(I56&gt;0,I56*D56,"")</f>
        <v/>
      </c>
      <c r="R56" s="14">
        <f>IF(J56&gt;0,J56*D56,"")</f>
        <v/>
      </c>
      <c r="S56" s="14">
        <f>IF(R56&gt;0,O56-R56,"")</f>
        <v/>
      </c>
      <c r="T56" s="14">
        <f>IF(R56&gt;0,P56-R56,"")</f>
        <v/>
      </c>
      <c r="U56" s="14">
        <f>ROUND((E56-G56)*D56,0)</f>
        <v/>
      </c>
    </row>
    <row r="57">
      <c r="A57" t="inlineStr">
        <is>
          <t>KTR-4302</t>
        </is>
      </c>
      <c r="B57" t="inlineStr">
        <is>
          <t>Terminal Dirección Mazda 2 15-08 IZQ</t>
        </is>
      </c>
      <c r="C57" t="inlineStr">
        <is>
          <t>Mazda</t>
        </is>
      </c>
      <c r="D57" s="19" t="n">
        <v>2</v>
      </c>
      <c r="E57" s="14" t="n">
        <v>35110</v>
      </c>
      <c r="F57" s="14">
        <f>D57*E57</f>
        <v/>
      </c>
      <c r="G57" s="14" t="n">
        <v>26333</v>
      </c>
      <c r="H57" s="14">
        <f>IF(G57&gt;0,ROUND(G57*1.19,0),"")</f>
        <v/>
      </c>
      <c r="I57" s="14">
        <f>IF(H57&gt;0,ROUND(H57*0.08,0),"")</f>
        <v/>
      </c>
      <c r="J57" s="14">
        <f>IF(H57&gt;0,H57+I57,"")</f>
        <v/>
      </c>
      <c r="K57" s="14" t="n">
        <v>52100</v>
      </c>
      <c r="L57" s="14" t="n">
        <v>61500</v>
      </c>
      <c r="M57" s="14">
        <f>IF(AND(K57&gt;0,J57&gt;0),K57-J57,"")</f>
        <v/>
      </c>
      <c r="N57" s="14">
        <f>IF(AND(L57&gt;0,J57&gt;0),L57-J57,"")</f>
        <v/>
      </c>
      <c r="O57" s="14">
        <f>D57*K57</f>
        <v/>
      </c>
      <c r="P57" s="14">
        <f>D57*L57</f>
        <v/>
      </c>
      <c r="Q57" s="14">
        <f>IF(I57&gt;0,I57*D57,"")</f>
        <v/>
      </c>
      <c r="R57" s="14">
        <f>IF(J57&gt;0,J57*D57,"")</f>
        <v/>
      </c>
      <c r="S57" s="14">
        <f>IF(R57&gt;0,O57-R57,"")</f>
        <v/>
      </c>
      <c r="T57" s="14">
        <f>IF(R57&gt;0,P57-R57,"")</f>
        <v/>
      </c>
      <c r="U57" s="14">
        <f>ROUND((E57-G57)*D57,0)</f>
        <v/>
      </c>
    </row>
    <row r="58">
      <c r="A58" t="inlineStr">
        <is>
          <t>KBJ-4033</t>
        </is>
      </c>
      <c r="B58" t="inlineStr">
        <is>
          <t>ROTULA MAZDA 3 BK3P-34-300</t>
        </is>
      </c>
      <c r="C58" t="inlineStr">
        <is>
          <t>Mazda</t>
        </is>
      </c>
      <c r="D58" s="19" t="n">
        <v>2</v>
      </c>
      <c r="E58" s="14" t="n">
        <v>24990</v>
      </c>
      <c r="F58" s="14">
        <f>D58*E58</f>
        <v/>
      </c>
      <c r="G58" s="14" t="n">
        <v>18743</v>
      </c>
      <c r="H58" s="14">
        <f>IF(G58&gt;0,ROUND(G58*1.19,0),"")</f>
        <v/>
      </c>
      <c r="I58" s="14">
        <f>IF(H58&gt;0,ROUND(H58*0.08,0),"")</f>
        <v/>
      </c>
      <c r="J58" s="14">
        <f>IF(H58&gt;0,H58+I58,"")</f>
        <v/>
      </c>
      <c r="K58" s="14" t="n">
        <v>37100</v>
      </c>
      <c r="L58" s="14" t="n">
        <v>43800</v>
      </c>
      <c r="M58" s="14">
        <f>IF(AND(K58&gt;0,J58&gt;0),K58-J58,"")</f>
        <v/>
      </c>
      <c r="N58" s="14">
        <f>IF(AND(L58&gt;0,J58&gt;0),L58-J58,"")</f>
        <v/>
      </c>
      <c r="O58" s="14">
        <f>D58*K58</f>
        <v/>
      </c>
      <c r="P58" s="14">
        <f>D58*L58</f>
        <v/>
      </c>
      <c r="Q58" s="14">
        <f>IF(I58&gt;0,I58*D58,"")</f>
        <v/>
      </c>
      <c r="R58" s="14">
        <f>IF(J58&gt;0,J58*D58,"")</f>
        <v/>
      </c>
      <c r="S58" s="14">
        <f>IF(R58&gt;0,O58-R58,"")</f>
        <v/>
      </c>
      <c r="T58" s="14">
        <f>IF(R58&gt;0,P58-R58,"")</f>
        <v/>
      </c>
      <c r="U58" s="14">
        <f>ROUND((E58-G58)*D58,0)</f>
        <v/>
      </c>
    </row>
    <row r="59">
      <c r="A59" t="inlineStr">
        <is>
          <t>KTR-4301</t>
        </is>
      </c>
      <c r="B59" t="inlineStr">
        <is>
          <t>Terminal Dir Mazda 2 15-08 DER</t>
        </is>
      </c>
      <c r="C59" t="inlineStr">
        <is>
          <t>Mazda</t>
        </is>
      </c>
      <c r="D59" s="19" t="n">
        <v>2</v>
      </c>
      <c r="E59" s="14" t="n">
        <v>33700</v>
      </c>
      <c r="F59" s="14">
        <f>D59*E59</f>
        <v/>
      </c>
      <c r="G59" s="14" t="n">
        <v>25275</v>
      </c>
      <c r="H59" s="14">
        <f>IF(G59&gt;0,ROUND(G59*1.19,0),"")</f>
        <v/>
      </c>
      <c r="I59" s="14">
        <f>IF(H59&gt;0,ROUND(H59*0.08,0),"")</f>
        <v/>
      </c>
      <c r="J59" s="14">
        <f>IF(H59&gt;0,H59+I59,"")</f>
        <v/>
      </c>
      <c r="K59" s="14" t="n">
        <v>50000</v>
      </c>
      <c r="L59" s="14" t="n">
        <v>59100</v>
      </c>
      <c r="M59" s="14">
        <f>IF(AND(K59&gt;0,J59&gt;0),K59-J59,"")</f>
        <v/>
      </c>
      <c r="N59" s="14">
        <f>IF(AND(L59&gt;0,J59&gt;0),L59-J59,"")</f>
        <v/>
      </c>
      <c r="O59" s="14">
        <f>D59*K59</f>
        <v/>
      </c>
      <c r="P59" s="14">
        <f>D59*L59</f>
        <v/>
      </c>
      <c r="Q59" s="14">
        <f>IF(I59&gt;0,I59*D59,"")</f>
        <v/>
      </c>
      <c r="R59" s="14">
        <f>IF(J59&gt;0,J59*D59,"")</f>
        <v/>
      </c>
      <c r="S59" s="14">
        <f>IF(R59&gt;0,O59-R59,"")</f>
        <v/>
      </c>
      <c r="T59" s="14">
        <f>IF(R59&gt;0,P59-R59,"")</f>
        <v/>
      </c>
      <c r="U59" s="14">
        <f>ROUND((E59-G59)*D59,0)</f>
        <v/>
      </c>
    </row>
    <row r="60">
      <c r="A60" t="inlineStr">
        <is>
          <t>KSL-2108</t>
        </is>
      </c>
      <c r="B60" t="inlineStr">
        <is>
          <t>Bieleta Estab. Mazda 3 13-03 DEL</t>
        </is>
      </c>
      <c r="C60" t="inlineStr">
        <is>
          <t>Mazda</t>
        </is>
      </c>
      <c r="D60" s="19" t="n">
        <v>2</v>
      </c>
      <c r="E60" s="14" t="n">
        <v>20150</v>
      </c>
      <c r="F60" s="14">
        <f>D60*E60</f>
        <v/>
      </c>
      <c r="G60" s="14" t="n">
        <v>15113</v>
      </c>
      <c r="H60" s="14">
        <f>IF(G60&gt;0,ROUND(G60*1.19,0),"")</f>
        <v/>
      </c>
      <c r="I60" s="14">
        <f>IF(H60&gt;0,ROUND(H60*0.08,0),"")</f>
        <v/>
      </c>
      <c r="J60" s="14">
        <f>IF(H60&gt;0,H60+I60,"")</f>
        <v/>
      </c>
      <c r="K60" s="14" t="n">
        <v>29900</v>
      </c>
      <c r="L60" s="14" t="n">
        <v>35300</v>
      </c>
      <c r="M60" s="14">
        <f>IF(AND(K60&gt;0,J60&gt;0),K60-J60,"")</f>
        <v/>
      </c>
      <c r="N60" s="14">
        <f>IF(AND(L60&gt;0,J60&gt;0),L60-J60,"")</f>
        <v/>
      </c>
      <c r="O60" s="14">
        <f>D60*K60</f>
        <v/>
      </c>
      <c r="P60" s="14">
        <f>D60*L60</f>
        <v/>
      </c>
      <c r="Q60" s="14">
        <f>IF(I60&gt;0,I60*D60,"")</f>
        <v/>
      </c>
      <c r="R60" s="14">
        <f>IF(J60&gt;0,J60*D60,"")</f>
        <v/>
      </c>
      <c r="S60" s="14">
        <f>IF(R60&gt;0,O60-R60,"")</f>
        <v/>
      </c>
      <c r="T60" s="14">
        <f>IF(R60&gt;0,P60-R60,"")</f>
        <v/>
      </c>
      <c r="U60" s="14">
        <f>ROUND((E60-G60)*D60,0)</f>
        <v/>
      </c>
    </row>
    <row r="61">
      <c r="A61" t="inlineStr">
        <is>
          <t>KSL-2103</t>
        </is>
      </c>
      <c r="B61" t="inlineStr">
        <is>
          <t>Bieleta Estab. Mazda 2 22-08 Skyactive / CX30-CX3 Skyactive Del</t>
        </is>
      </c>
      <c r="C61" t="inlineStr">
        <is>
          <t>Mazda</t>
        </is>
      </c>
      <c r="D61" s="19" t="n">
        <v>2</v>
      </c>
      <c r="E61" s="14" t="n">
        <v>21380</v>
      </c>
      <c r="F61" s="14">
        <f>D61*E61</f>
        <v/>
      </c>
      <c r="G61" s="14" t="n">
        <v>16035</v>
      </c>
      <c r="H61" s="14">
        <f>IF(G61&gt;0,ROUND(G61*1.19,0),"")</f>
        <v/>
      </c>
      <c r="I61" s="14">
        <f>IF(H61&gt;0,ROUND(H61*0.08,0),"")</f>
        <v/>
      </c>
      <c r="J61" s="14">
        <f>IF(H61&gt;0,H61+I61,"")</f>
        <v/>
      </c>
      <c r="K61" s="14" t="n">
        <v>31700</v>
      </c>
      <c r="L61" s="14" t="n">
        <v>37500</v>
      </c>
      <c r="M61" s="14">
        <f>IF(AND(K61&gt;0,J61&gt;0),K61-J61,"")</f>
        <v/>
      </c>
      <c r="N61" s="14">
        <f>IF(AND(L61&gt;0,J61&gt;0),L61-J61,"")</f>
        <v/>
      </c>
      <c r="O61" s="14">
        <f>D61*K61</f>
        <v/>
      </c>
      <c r="P61" s="14">
        <f>D61*L61</f>
        <v/>
      </c>
      <c r="Q61" s="14">
        <f>IF(I61&gt;0,I61*D61,"")</f>
        <v/>
      </c>
      <c r="R61" s="14">
        <f>IF(J61&gt;0,J61*D61,"")</f>
        <v/>
      </c>
      <c r="S61" s="14">
        <f>IF(R61&gt;0,O61-R61,"")</f>
        <v/>
      </c>
      <c r="T61" s="14">
        <f>IF(R61&gt;0,P61-R61,"")</f>
        <v/>
      </c>
      <c r="U61" s="14">
        <f>ROUND((E61-G61)*D61,0)</f>
        <v/>
      </c>
    </row>
    <row r="62">
      <c r="A62" t="inlineStr">
        <is>
          <t>KRE-3202</t>
        </is>
      </c>
      <c r="B62" t="inlineStr">
        <is>
          <t>Terminal Axial Mazda 3 10-02</t>
        </is>
      </c>
      <c r="C62" t="inlineStr">
        <is>
          <t>Mazda</t>
        </is>
      </c>
      <c r="D62" s="19" t="n">
        <v>2</v>
      </c>
      <c r="E62" s="14" t="n">
        <v>25430</v>
      </c>
      <c r="F62" s="14">
        <f>D62*E62</f>
        <v/>
      </c>
      <c r="G62" s="14" t="n">
        <v>19073</v>
      </c>
      <c r="H62" s="14">
        <f>IF(G62&gt;0,ROUND(G62*1.19,0),"")</f>
        <v/>
      </c>
      <c r="I62" s="14">
        <f>IF(H62&gt;0,ROUND(H62*0.08,0),"")</f>
        <v/>
      </c>
      <c r="J62" s="14">
        <f>IF(H62&gt;0,H62+I62,"")</f>
        <v/>
      </c>
      <c r="K62" s="14" t="n">
        <v>37700</v>
      </c>
      <c r="L62" s="14" t="n">
        <v>44600</v>
      </c>
      <c r="M62" s="14">
        <f>IF(AND(K62&gt;0,J62&gt;0),K62-J62,"")</f>
        <v/>
      </c>
      <c r="N62" s="14">
        <f>IF(AND(L62&gt;0,J62&gt;0),L62-J62,"")</f>
        <v/>
      </c>
      <c r="O62" s="14">
        <f>D62*K62</f>
        <v/>
      </c>
      <c r="P62" s="14">
        <f>D62*L62</f>
        <v/>
      </c>
      <c r="Q62" s="14">
        <f>IF(I62&gt;0,I62*D62,"")</f>
        <v/>
      </c>
      <c r="R62" s="14">
        <f>IF(J62&gt;0,J62*D62,"")</f>
        <v/>
      </c>
      <c r="S62" s="14">
        <f>IF(R62&gt;0,O62-R62,"")</f>
        <v/>
      </c>
      <c r="T62" s="14">
        <f>IF(R62&gt;0,P62-R62,"")</f>
        <v/>
      </c>
      <c r="U62" s="14">
        <f>ROUND((E62-G62)*D62,0)</f>
        <v/>
      </c>
    </row>
    <row r="63">
      <c r="A63" t="inlineStr">
        <is>
          <t>KTR-4304</t>
        </is>
      </c>
      <c r="B63" t="inlineStr">
        <is>
          <t>Terminal Dir Mazda 3 14-03 DER</t>
        </is>
      </c>
      <c r="C63" t="inlineStr">
        <is>
          <t>Mazda</t>
        </is>
      </c>
      <c r="D63" s="19" t="n">
        <v>2</v>
      </c>
      <c r="E63" s="14" t="n">
        <v>23540</v>
      </c>
      <c r="F63" s="14">
        <f>D63*E63</f>
        <v/>
      </c>
      <c r="G63" s="14" t="n">
        <v>17655</v>
      </c>
      <c r="H63" s="14">
        <f>IF(G63&gt;0,ROUND(G63*1.19,0),"")</f>
        <v/>
      </c>
      <c r="I63" s="14">
        <f>IF(H63&gt;0,ROUND(H63*0.08,0),"")</f>
        <v/>
      </c>
      <c r="J63" s="14">
        <f>IF(H63&gt;0,H63+I63,"")</f>
        <v/>
      </c>
      <c r="K63" s="14" t="n">
        <v>34900</v>
      </c>
      <c r="L63" s="14" t="n">
        <v>41300</v>
      </c>
      <c r="M63" s="14">
        <f>IF(AND(K63&gt;0,J63&gt;0),K63-J63,"")</f>
        <v/>
      </c>
      <c r="N63" s="14">
        <f>IF(AND(L63&gt;0,J63&gt;0),L63-J63,"")</f>
        <v/>
      </c>
      <c r="O63" s="14">
        <f>D63*K63</f>
        <v/>
      </c>
      <c r="P63" s="14">
        <f>D63*L63</f>
        <v/>
      </c>
      <c r="Q63" s="14">
        <f>IF(I63&gt;0,I63*D63,"")</f>
        <v/>
      </c>
      <c r="R63" s="14">
        <f>IF(J63&gt;0,J63*D63,"")</f>
        <v/>
      </c>
      <c r="S63" s="14">
        <f>IF(R63&gt;0,O63-R63,"")</f>
        <v/>
      </c>
      <c r="T63" s="14">
        <f>IF(R63&gt;0,P63-R63,"")</f>
        <v/>
      </c>
      <c r="U63" s="14">
        <f>ROUND((E63-G63)*D63,0)</f>
        <v/>
      </c>
    </row>
    <row r="64">
      <c r="A64" t="inlineStr">
        <is>
          <t>KTR-4303</t>
        </is>
      </c>
      <c r="B64" t="inlineStr">
        <is>
          <t>Terminal Dir Mazda 3 14-03 IZQ</t>
        </is>
      </c>
      <c r="C64" t="inlineStr">
        <is>
          <t>Mazda</t>
        </is>
      </c>
      <c r="D64" s="19" t="n">
        <v>2</v>
      </c>
      <c r="E64" s="14" t="n">
        <v>23540</v>
      </c>
      <c r="F64" s="14">
        <f>D64*E64</f>
        <v/>
      </c>
      <c r="G64" s="14" t="n">
        <v>17655</v>
      </c>
      <c r="H64" s="14">
        <f>IF(G64&gt;0,ROUND(G64*1.19,0),"")</f>
        <v/>
      </c>
      <c r="I64" s="14">
        <f>IF(H64&gt;0,ROUND(H64*0.08,0),"")</f>
        <v/>
      </c>
      <c r="J64" s="14">
        <f>IF(H64&gt;0,H64+I64,"")</f>
        <v/>
      </c>
      <c r="K64" s="14" t="n">
        <v>34900</v>
      </c>
      <c r="L64" s="14" t="n">
        <v>41300</v>
      </c>
      <c r="M64" s="14">
        <f>IF(AND(K64&gt;0,J64&gt;0),K64-J64,"")</f>
        <v/>
      </c>
      <c r="N64" s="14">
        <f>IF(AND(L64&gt;0,J64&gt;0),L64-J64,"")</f>
        <v/>
      </c>
      <c r="O64" s="14">
        <f>D64*K64</f>
        <v/>
      </c>
      <c r="P64" s="14">
        <f>D64*L64</f>
        <v/>
      </c>
      <c r="Q64" s="14">
        <f>IF(I64&gt;0,I64*D64,"")</f>
        <v/>
      </c>
      <c r="R64" s="14">
        <f>IF(J64&gt;0,J64*D64,"")</f>
        <v/>
      </c>
      <c r="S64" s="14">
        <f>IF(R64&gt;0,O64-R64,"")</f>
        <v/>
      </c>
      <c r="T64" s="14">
        <f>IF(R64&gt;0,P64-R64,"")</f>
        <v/>
      </c>
      <c r="U64" s="14">
        <f>ROUND((E64-G64)*D64,0)</f>
        <v/>
      </c>
    </row>
    <row r="65">
      <c r="A65" t="inlineStr">
        <is>
          <t>KSA-MA001</t>
        </is>
      </c>
      <c r="B65" t="inlineStr">
        <is>
          <t xml:space="preserve">Amortiguador Mazda 2 13-08 Del DER GAS </t>
        </is>
      </c>
      <c r="C65" t="inlineStr">
        <is>
          <t>Mazda 2</t>
        </is>
      </c>
      <c r="D65" s="19" t="n">
        <v>1</v>
      </c>
      <c r="E65" s="14" t="n">
        <v>119330</v>
      </c>
      <c r="F65" s="14">
        <f>D65*E65</f>
        <v/>
      </c>
      <c r="G65" s="14" t="n">
        <v>89498</v>
      </c>
      <c r="H65" s="14">
        <f>IF(G65&gt;0,ROUND(G65*1.19,0),"")</f>
        <v/>
      </c>
      <c r="I65" s="14">
        <f>IF(H65&gt;0,ROUND(H65*0.08,0),"")</f>
        <v/>
      </c>
      <c r="J65" s="14">
        <f>IF(H65&gt;0,H65+I65,"")</f>
        <v/>
      </c>
      <c r="K65" s="14" t="n">
        <v>135300</v>
      </c>
      <c r="L65" s="14" t="n">
        <v>153400</v>
      </c>
      <c r="M65" s="14">
        <f>IF(AND(K65&gt;0,J65&gt;0),K65-J65,"")</f>
        <v/>
      </c>
      <c r="N65" s="14">
        <f>IF(AND(L65&gt;0,J65&gt;0),L65-J65,"")</f>
        <v/>
      </c>
      <c r="O65" s="14">
        <f>D65*K65</f>
        <v/>
      </c>
      <c r="P65" s="14">
        <f>D65*L65</f>
        <v/>
      </c>
      <c r="Q65" s="14">
        <f>IF(I65&gt;0,I65*D65,"")</f>
        <v/>
      </c>
      <c r="R65" s="14">
        <f>IF(J65&gt;0,J65*D65,"")</f>
        <v/>
      </c>
      <c r="S65" s="14">
        <f>IF(R65&gt;0,O65-R65,"")</f>
        <v/>
      </c>
      <c r="T65" s="14">
        <f>IF(R65&gt;0,P65-R65,"")</f>
        <v/>
      </c>
      <c r="U65" s="14">
        <f>ROUND((E65-G65)*D65,0)</f>
        <v/>
      </c>
    </row>
    <row r="66">
      <c r="A66" t="inlineStr">
        <is>
          <t>KSA-MA002</t>
        </is>
      </c>
      <c r="B66" t="inlineStr">
        <is>
          <t xml:space="preserve">Amortiguador Mazda 2 13-08 Del IZQ GAS </t>
        </is>
      </c>
      <c r="C66" t="inlineStr">
        <is>
          <t>Mazda 2</t>
        </is>
      </c>
      <c r="D66" s="19" t="n">
        <v>1</v>
      </c>
      <c r="E66" s="14" t="n">
        <v>119330</v>
      </c>
      <c r="F66" s="14">
        <f>D66*E66</f>
        <v/>
      </c>
      <c r="G66" s="14" t="n">
        <v>89498</v>
      </c>
      <c r="H66" s="14">
        <f>IF(G66&gt;0,ROUND(G66*1.19,0),"")</f>
        <v/>
      </c>
      <c r="I66" s="14">
        <f>IF(H66&gt;0,ROUND(H66*0.08,0),"")</f>
        <v/>
      </c>
      <c r="J66" s="14">
        <f>IF(H66&gt;0,H66+I66,"")</f>
        <v/>
      </c>
      <c r="K66" s="14" t="n">
        <v>135300</v>
      </c>
      <c r="L66" s="14" t="n">
        <v>153400</v>
      </c>
      <c r="M66" s="14">
        <f>IF(AND(K66&gt;0,J66&gt;0),K66-J66,"")</f>
        <v/>
      </c>
      <c r="N66" s="14">
        <f>IF(AND(L66&gt;0,J66&gt;0),L66-J66,"")</f>
        <v/>
      </c>
      <c r="O66" s="14">
        <f>D66*K66</f>
        <v/>
      </c>
      <c r="P66" s="14">
        <f>D66*L66</f>
        <v/>
      </c>
      <c r="Q66" s="14">
        <f>IF(I66&gt;0,I66*D66,"")</f>
        <v/>
      </c>
      <c r="R66" s="14">
        <f>IF(J66&gt;0,J66*D66,"")</f>
        <v/>
      </c>
      <c r="S66" s="14">
        <f>IF(R66&gt;0,O66-R66,"")</f>
        <v/>
      </c>
      <c r="T66" s="14">
        <f>IF(R66&gt;0,P66-R66,"")</f>
        <v/>
      </c>
      <c r="U66" s="14">
        <f>ROUND((E66-G66)*D66,0)</f>
        <v/>
      </c>
    </row>
    <row r="67">
      <c r="A67" t="inlineStr">
        <is>
          <t>KBJ-4085</t>
        </is>
      </c>
      <c r="B67" t="inlineStr">
        <is>
          <t>Rótula Mazda 2 15-08 Skyactive 19-16 / Ford Fiesta 17-11</t>
        </is>
      </c>
      <c r="C67" t="inlineStr">
        <is>
          <t>Mazda/Ford</t>
        </is>
      </c>
      <c r="D67" s="19" t="n">
        <v>2</v>
      </c>
      <c r="E67" s="14" t="n">
        <v>24820</v>
      </c>
      <c r="F67" s="14">
        <f>D67*E67</f>
        <v/>
      </c>
      <c r="G67" s="14" t="n">
        <v>18615</v>
      </c>
      <c r="H67" s="14">
        <f>IF(G67&gt;0,ROUND(G67*1.19,0),"")</f>
        <v/>
      </c>
      <c r="I67" s="14">
        <f>IF(H67&gt;0,ROUND(H67*0.08,0),"")</f>
        <v/>
      </c>
      <c r="J67" s="14">
        <f>IF(H67&gt;0,H67+I67,"")</f>
        <v/>
      </c>
      <c r="K67" s="14" t="n">
        <v>36800</v>
      </c>
      <c r="L67" s="14" t="n">
        <v>43500</v>
      </c>
      <c r="M67" s="14">
        <f>IF(AND(K67&gt;0,J67&gt;0),K67-J67,"")</f>
        <v/>
      </c>
      <c r="N67" s="14">
        <f>IF(AND(L67&gt;0,J67&gt;0),L67-J67,"")</f>
        <v/>
      </c>
      <c r="O67" s="14">
        <f>D67*K67</f>
        <v/>
      </c>
      <c r="P67" s="14">
        <f>D67*L67</f>
        <v/>
      </c>
      <c r="Q67" s="14">
        <f>IF(I67&gt;0,I67*D67,"")</f>
        <v/>
      </c>
      <c r="R67" s="14">
        <f>IF(J67&gt;0,J67*D67,"")</f>
        <v/>
      </c>
      <c r="S67" s="14">
        <f>IF(R67&gt;0,O67-R67,"")</f>
        <v/>
      </c>
      <c r="T67" s="14">
        <f>IF(R67&gt;0,P67-R67,"")</f>
        <v/>
      </c>
      <c r="U67" s="14">
        <f>ROUND((E67-G67)*D67,0)</f>
        <v/>
      </c>
    </row>
    <row r="68">
      <c r="A68" t="inlineStr">
        <is>
          <t>KBJ-4043</t>
        </is>
      </c>
      <c r="B68" t="inlineStr">
        <is>
          <t>Rótula BT-50 4x4 INF Cono 19.5mm / Ford Ranger 4x4 INF</t>
        </is>
      </c>
      <c r="C68" t="inlineStr">
        <is>
          <t>Mazda/Ford</t>
        </is>
      </c>
      <c r="D68" s="19" t="n">
        <v>2</v>
      </c>
      <c r="E68" s="14" t="n">
        <v>38590</v>
      </c>
      <c r="F68" s="14">
        <f>D68*E68</f>
        <v/>
      </c>
      <c r="G68" s="14" t="n">
        <v>28943</v>
      </c>
      <c r="H68" s="14">
        <f>IF(G68&gt;0,ROUND(G68*1.19,0),"")</f>
        <v/>
      </c>
      <c r="I68" s="14">
        <f>IF(H68&gt;0,ROUND(H68*0.08,0),"")</f>
        <v/>
      </c>
      <c r="J68" s="14">
        <f>IF(H68&gt;0,H68+I68,"")</f>
        <v/>
      </c>
      <c r="K68" s="14" t="n">
        <v>57200</v>
      </c>
      <c r="L68" s="14" t="n">
        <v>67600</v>
      </c>
      <c r="M68" s="14">
        <f>IF(AND(K68&gt;0,J68&gt;0),K68-J68,"")</f>
        <v/>
      </c>
      <c r="N68" s="14">
        <f>IF(AND(L68&gt;0,J68&gt;0),L68-J68,"")</f>
        <v/>
      </c>
      <c r="O68" s="14">
        <f>D68*K68</f>
        <v/>
      </c>
      <c r="P68" s="14">
        <f>D68*L68</f>
        <v/>
      </c>
      <c r="Q68" s="14">
        <f>IF(I68&gt;0,I68*D68,"")</f>
        <v/>
      </c>
      <c r="R68" s="14">
        <f>IF(J68&gt;0,J68*D68,"")</f>
        <v/>
      </c>
      <c r="S68" s="14">
        <f>IF(R68&gt;0,O68-R68,"")</f>
        <v/>
      </c>
      <c r="T68" s="14">
        <f>IF(R68&gt;0,P68-R68,"")</f>
        <v/>
      </c>
      <c r="U68" s="14">
        <f>ROUND((E68-G68)*D68,0)</f>
        <v/>
      </c>
    </row>
    <row r="69">
      <c r="A69" t="inlineStr">
        <is>
          <t>KTR-4308</t>
        </is>
      </c>
      <c r="B69" t="inlineStr">
        <is>
          <t>Terminal Dirección M6 / Ford Edge-Fusion DER</t>
        </is>
      </c>
      <c r="C69" t="inlineStr">
        <is>
          <t>Mazda/Ford</t>
        </is>
      </c>
      <c r="D69" s="19" t="n">
        <v>2</v>
      </c>
      <c r="E69" s="14" t="n">
        <v>35680</v>
      </c>
      <c r="F69" s="14">
        <f>D69*E69</f>
        <v/>
      </c>
      <c r="G69" s="14" t="n">
        <v>26760</v>
      </c>
      <c r="H69" s="14">
        <f>IF(G69&gt;0,ROUND(G69*1.19,0),"")</f>
        <v/>
      </c>
      <c r="I69" s="14">
        <f>IF(H69&gt;0,ROUND(H69*0.08,0),"")</f>
        <v/>
      </c>
      <c r="J69" s="14">
        <f>IF(H69&gt;0,H69+I69,"")</f>
        <v/>
      </c>
      <c r="K69" s="14" t="n">
        <v>52900</v>
      </c>
      <c r="L69" s="14" t="n">
        <v>62500</v>
      </c>
      <c r="M69" s="14">
        <f>IF(AND(K69&gt;0,J69&gt;0),K69-J69,"")</f>
        <v/>
      </c>
      <c r="N69" s="14">
        <f>IF(AND(L69&gt;0,J69&gt;0),L69-J69,"")</f>
        <v/>
      </c>
      <c r="O69" s="14">
        <f>D69*K69</f>
        <v/>
      </c>
      <c r="P69" s="14">
        <f>D69*L69</f>
        <v/>
      </c>
      <c r="Q69" s="14">
        <f>IF(I69&gt;0,I69*D69,"")</f>
        <v/>
      </c>
      <c r="R69" s="14">
        <f>IF(J69&gt;0,J69*D69,"")</f>
        <v/>
      </c>
      <c r="S69" s="14">
        <f>IF(R69&gt;0,O69-R69,"")</f>
        <v/>
      </c>
      <c r="T69" s="14">
        <f>IF(R69&gt;0,P69-R69,"")</f>
        <v/>
      </c>
      <c r="U69" s="14">
        <f>ROUND((E69-G69)*D69,0)</f>
        <v/>
      </c>
    </row>
    <row r="70">
      <c r="A70" t="inlineStr">
        <is>
          <t>KTR-4309</t>
        </is>
      </c>
      <c r="B70" t="inlineStr">
        <is>
          <t>Terminal Dir M6 / Ford Edge-Fusion IZQ</t>
        </is>
      </c>
      <c r="C70" t="inlineStr">
        <is>
          <t>Mazda/Ford</t>
        </is>
      </c>
      <c r="D70" s="19" t="n">
        <v>2</v>
      </c>
      <c r="E70" s="14" t="n">
        <v>34800</v>
      </c>
      <c r="F70" s="14">
        <f>D70*E70</f>
        <v/>
      </c>
      <c r="G70" s="14" t="n">
        <v>26100</v>
      </c>
      <c r="H70" s="14">
        <f>IF(G70&gt;0,ROUND(G70*1.19,0),"")</f>
        <v/>
      </c>
      <c r="I70" s="14">
        <f>IF(H70&gt;0,ROUND(H70*0.08,0),"")</f>
        <v/>
      </c>
      <c r="J70" s="14">
        <f>IF(H70&gt;0,H70+I70,"")</f>
        <v/>
      </c>
      <c r="K70" s="14" t="n">
        <v>51600</v>
      </c>
      <c r="L70" s="14" t="n">
        <v>61000</v>
      </c>
      <c r="M70" s="14">
        <f>IF(AND(K70&gt;0,J70&gt;0),K70-J70,"")</f>
        <v/>
      </c>
      <c r="N70" s="14">
        <f>IF(AND(L70&gt;0,J70&gt;0),L70-J70,"")</f>
        <v/>
      </c>
      <c r="O70" s="14">
        <f>D70*K70</f>
        <v/>
      </c>
      <c r="P70" s="14">
        <f>D70*L70</f>
        <v/>
      </c>
      <c r="Q70" s="14">
        <f>IF(I70&gt;0,I70*D70,"")</f>
        <v/>
      </c>
      <c r="R70" s="14">
        <f>IF(J70&gt;0,J70*D70,"")</f>
        <v/>
      </c>
      <c r="S70" s="14">
        <f>IF(R70&gt;0,O70-R70,"")</f>
        <v/>
      </c>
      <c r="T70" s="14">
        <f>IF(R70&gt;0,P70-R70,"")</f>
        <v/>
      </c>
      <c r="U70" s="14">
        <f>ROUND((E70-G70)*D70,0)</f>
        <v/>
      </c>
    </row>
    <row r="71">
      <c r="A71" t="inlineStr">
        <is>
          <t>KSL-2107</t>
        </is>
      </c>
      <c r="B71" t="inlineStr">
        <is>
          <t>Bieleta Estab. Mazda 2 07-02 / Ford Fiesta-Fusion</t>
        </is>
      </c>
      <c r="C71" t="inlineStr">
        <is>
          <t>Mazda/Ford</t>
        </is>
      </c>
      <c r="D71" s="19" t="n">
        <v>2</v>
      </c>
      <c r="E71" s="14" t="n">
        <v>20720</v>
      </c>
      <c r="F71" s="14">
        <f>D71*E71</f>
        <v/>
      </c>
      <c r="G71" s="14" t="n">
        <v>15540</v>
      </c>
      <c r="H71" s="14">
        <f>IF(G71&gt;0,ROUND(G71*1.19,0),"")</f>
        <v/>
      </c>
      <c r="I71" s="14">
        <f>IF(H71&gt;0,ROUND(H71*0.08,0),"")</f>
        <v/>
      </c>
      <c r="J71" s="14">
        <f>IF(H71&gt;0,H71+I71,"")</f>
        <v/>
      </c>
      <c r="K71" s="14" t="n">
        <v>30700</v>
      </c>
      <c r="L71" s="14" t="n">
        <v>36300</v>
      </c>
      <c r="M71" s="14">
        <f>IF(AND(K71&gt;0,J71&gt;0),K71-J71,"")</f>
        <v/>
      </c>
      <c r="N71" s="14">
        <f>IF(AND(L71&gt;0,J71&gt;0),L71-J71,"")</f>
        <v/>
      </c>
      <c r="O71" s="14">
        <f>D71*K71</f>
        <v/>
      </c>
      <c r="P71" s="14">
        <f>D71*L71</f>
        <v/>
      </c>
      <c r="Q71" s="14">
        <f>IF(I71&gt;0,I71*D71,"")</f>
        <v/>
      </c>
      <c r="R71" s="14">
        <f>IF(J71&gt;0,J71*D71,"")</f>
        <v/>
      </c>
      <c r="S71" s="14">
        <f>IF(R71&gt;0,O71-R71,"")</f>
        <v/>
      </c>
      <c r="T71" s="14">
        <f>IF(R71&gt;0,P71-R71,"")</f>
        <v/>
      </c>
      <c r="U71" s="14">
        <f>ROUND((E71-G71)*D71,0)</f>
        <v/>
      </c>
    </row>
    <row r="72">
      <c r="A72" t="inlineStr">
        <is>
          <t>KRE-3210</t>
        </is>
      </c>
      <c r="B72" t="inlineStr">
        <is>
          <t>Terminal Axial Mazda 2 15-07 / Kia Picanto ION Dir Mecánica M14x1.5</t>
        </is>
      </c>
      <c r="C72" t="inlineStr">
        <is>
          <t>Mazda/Kia</t>
        </is>
      </c>
      <c r="D72" s="19" t="n">
        <v>2</v>
      </c>
      <c r="E72" s="14" t="n">
        <v>27020</v>
      </c>
      <c r="F72" s="14">
        <f>D72*E72</f>
        <v/>
      </c>
      <c r="G72" s="14" t="n">
        <v>20265</v>
      </c>
      <c r="H72" s="14">
        <f>IF(G72&gt;0,ROUND(G72*1.19,0),"")</f>
        <v/>
      </c>
      <c r="I72" s="14">
        <f>IF(H72&gt;0,ROUND(H72*0.08,0),"")</f>
        <v/>
      </c>
      <c r="J72" s="14">
        <f>IF(H72&gt;0,H72+I72,"")</f>
        <v/>
      </c>
      <c r="K72" s="14" t="n">
        <v>40100</v>
      </c>
      <c r="L72" s="14" t="n">
        <v>47400</v>
      </c>
      <c r="M72" s="14">
        <f>IF(AND(K72&gt;0,J72&gt;0),K72-J72,"")</f>
        <v/>
      </c>
      <c r="N72" s="14">
        <f>IF(AND(L72&gt;0,J72&gt;0),L72-J72,"")</f>
        <v/>
      </c>
      <c r="O72" s="14">
        <f>D72*K72</f>
        <v/>
      </c>
      <c r="P72" s="14">
        <f>D72*L72</f>
        <v/>
      </c>
      <c r="Q72" s="14">
        <f>IF(I72&gt;0,I72*D72,"")</f>
        <v/>
      </c>
      <c r="R72" s="14">
        <f>IF(J72&gt;0,J72*D72,"")</f>
        <v/>
      </c>
      <c r="S72" s="14">
        <f>IF(R72&gt;0,O72-R72,"")</f>
        <v/>
      </c>
      <c r="T72" s="14">
        <f>IF(R72&gt;0,P72-R72,"")</f>
        <v/>
      </c>
      <c r="U72" s="14">
        <f>ROUND((E72-G72)*D72,0)</f>
        <v/>
      </c>
    </row>
    <row r="73">
      <c r="A73" t="inlineStr">
        <is>
          <t>KBJ-4053</t>
        </is>
      </c>
      <c r="B73" t="inlineStr">
        <is>
          <t>Rótula D22 4x2-4x4 Frontier 4x4 SUP</t>
        </is>
      </c>
      <c r="C73" t="inlineStr">
        <is>
          <t>Nissan</t>
        </is>
      </c>
      <c r="D73" s="19" t="n">
        <v>2</v>
      </c>
      <c r="E73" s="14" t="n">
        <v>26220</v>
      </c>
      <c r="F73" s="14">
        <f>D73*E73</f>
        <v/>
      </c>
      <c r="G73" s="14" t="n">
        <v>19665</v>
      </c>
      <c r="H73" s="14">
        <f>IF(G73&gt;0,ROUND(G73*1.19,0),"")</f>
        <v/>
      </c>
      <c r="I73" s="14">
        <f>IF(H73&gt;0,ROUND(H73*0.08,0),"")</f>
        <v/>
      </c>
      <c r="J73" s="14">
        <f>IF(H73&gt;0,H73+I73,"")</f>
        <v/>
      </c>
      <c r="K73" s="14" t="n">
        <v>38900</v>
      </c>
      <c r="L73" s="14" t="n">
        <v>46000</v>
      </c>
      <c r="M73" s="14">
        <f>IF(AND(K73&gt;0,J73&gt;0),K73-J73,"")</f>
        <v/>
      </c>
      <c r="N73" s="14">
        <f>IF(AND(L73&gt;0,J73&gt;0),L73-J73,"")</f>
        <v/>
      </c>
      <c r="O73" s="14">
        <f>D73*K73</f>
        <v/>
      </c>
      <c r="P73" s="14">
        <f>D73*L73</f>
        <v/>
      </c>
      <c r="Q73" s="14">
        <f>IF(I73&gt;0,I73*D73,"")</f>
        <v/>
      </c>
      <c r="R73" s="14">
        <f>IF(J73&gt;0,J73*D73,"")</f>
        <v/>
      </c>
      <c r="S73" s="14">
        <f>IF(R73&gt;0,O73-R73,"")</f>
        <v/>
      </c>
      <c r="T73" s="14">
        <f>IF(R73&gt;0,P73-R73,"")</f>
        <v/>
      </c>
      <c r="U73" s="14">
        <f>ROUND((E73-G73)*D73,0)</f>
        <v/>
      </c>
    </row>
    <row r="74">
      <c r="A74" t="inlineStr">
        <is>
          <t>KBJ-4051</t>
        </is>
      </c>
      <c r="B74" t="inlineStr">
        <is>
          <t>Rótula D21 Frontier NP300 4x2 Gasol INF Urban INF</t>
        </is>
      </c>
      <c r="C74" t="inlineStr">
        <is>
          <t>Nissan</t>
        </is>
      </c>
      <c r="D74" s="19" t="n">
        <v>2</v>
      </c>
      <c r="E74" s="14" t="n">
        <v>38630</v>
      </c>
      <c r="F74" s="14">
        <f>D74*E74</f>
        <v/>
      </c>
      <c r="G74" s="14" t="n">
        <v>28973</v>
      </c>
      <c r="H74" s="14">
        <f>IF(G74&gt;0,ROUND(G74*1.19,0),"")</f>
        <v/>
      </c>
      <c r="I74" s="14">
        <f>IF(H74&gt;0,ROUND(H74*0.08,0),"")</f>
        <v/>
      </c>
      <c r="J74" s="14">
        <f>IF(H74&gt;0,H74+I74,"")</f>
        <v/>
      </c>
      <c r="K74" s="14" t="n">
        <v>57300</v>
      </c>
      <c r="L74" s="14" t="n">
        <v>67700</v>
      </c>
      <c r="M74" s="14">
        <f>IF(AND(K74&gt;0,J74&gt;0),K74-J74,"")</f>
        <v/>
      </c>
      <c r="N74" s="14">
        <f>IF(AND(L74&gt;0,J74&gt;0),L74-J74,"")</f>
        <v/>
      </c>
      <c r="O74" s="14">
        <f>D74*K74</f>
        <v/>
      </c>
      <c r="P74" s="14">
        <f>D74*L74</f>
        <v/>
      </c>
      <c r="Q74" s="14">
        <f>IF(I74&gt;0,I74*D74,"")</f>
        <v/>
      </c>
      <c r="R74" s="14">
        <f>IF(J74&gt;0,J74*D74,"")</f>
        <v/>
      </c>
      <c r="S74" s="14">
        <f>IF(R74&gt;0,O74-R74,"")</f>
        <v/>
      </c>
      <c r="T74" s="14">
        <f>IF(R74&gt;0,P74-R74,"")</f>
        <v/>
      </c>
      <c r="U74" s="14">
        <f>ROUND((E74-G74)*D74,0)</f>
        <v/>
      </c>
    </row>
    <row r="75">
      <c r="A75" t="inlineStr">
        <is>
          <t>KTR-5129</t>
        </is>
      </c>
      <c r="B75" t="inlineStr">
        <is>
          <t>Terminal Dirección March IZQ</t>
        </is>
      </c>
      <c r="C75" t="inlineStr">
        <is>
          <t>Nissan</t>
        </is>
      </c>
      <c r="D75" s="19" t="n">
        <v>2</v>
      </c>
      <c r="E75" s="14" t="n">
        <v>28950</v>
      </c>
      <c r="F75" s="14">
        <f>D75*E75</f>
        <v/>
      </c>
      <c r="G75" s="14" t="n">
        <v>21713</v>
      </c>
      <c r="H75" s="14">
        <f>IF(G75&gt;0,ROUND(G75*1.19,0),"")</f>
        <v/>
      </c>
      <c r="I75" s="14">
        <f>IF(H75&gt;0,ROUND(H75*0.08,0),"")</f>
        <v/>
      </c>
      <c r="J75" s="14">
        <f>IF(H75&gt;0,H75+I75,"")</f>
        <v/>
      </c>
      <c r="K75" s="14" t="n">
        <v>42900</v>
      </c>
      <c r="L75" s="14" t="n">
        <v>50700</v>
      </c>
      <c r="M75" s="14">
        <f>IF(AND(K75&gt;0,J75&gt;0),K75-J75,"")</f>
        <v/>
      </c>
      <c r="N75" s="14">
        <f>IF(AND(L75&gt;0,J75&gt;0),L75-J75,"")</f>
        <v/>
      </c>
      <c r="O75" s="14">
        <f>D75*K75</f>
        <v/>
      </c>
      <c r="P75" s="14">
        <f>D75*L75</f>
        <v/>
      </c>
      <c r="Q75" s="14">
        <f>IF(I75&gt;0,I75*D75,"")</f>
        <v/>
      </c>
      <c r="R75" s="14">
        <f>IF(J75&gt;0,J75*D75,"")</f>
        <v/>
      </c>
      <c r="S75" s="14">
        <f>IF(R75&gt;0,O75-R75,"")</f>
        <v/>
      </c>
      <c r="T75" s="14">
        <f>IF(R75&gt;0,P75-R75,"")</f>
        <v/>
      </c>
      <c r="U75" s="14">
        <f>ROUND((E75-G75)*D75,0)</f>
        <v/>
      </c>
    </row>
    <row r="76">
      <c r="A76" t="inlineStr">
        <is>
          <t>KTR-5130</t>
        </is>
      </c>
      <c r="B76" t="inlineStr">
        <is>
          <t>Terminal Dirección March K11 Note DER</t>
        </is>
      </c>
      <c r="C76" t="inlineStr">
        <is>
          <t>Nissan</t>
        </is>
      </c>
      <c r="D76" s="19" t="n">
        <v>2</v>
      </c>
      <c r="E76" s="14" t="n">
        <v>28950</v>
      </c>
      <c r="F76" s="14">
        <f>D76*E76</f>
        <v/>
      </c>
      <c r="G76" s="14" t="n">
        <v>21713</v>
      </c>
      <c r="H76" s="14">
        <f>IF(G76&gt;0,ROUND(G76*1.19,0),"")</f>
        <v/>
      </c>
      <c r="I76" s="14">
        <f>IF(H76&gt;0,ROUND(H76*0.08,0),"")</f>
        <v/>
      </c>
      <c r="J76" s="14">
        <f>IF(H76&gt;0,H76+I76,"")</f>
        <v/>
      </c>
      <c r="K76" s="14" t="n">
        <v>42900</v>
      </c>
      <c r="L76" s="14" t="n">
        <v>50700</v>
      </c>
      <c r="M76" s="14">
        <f>IF(AND(K76&gt;0,J76&gt;0),K76-J76,"")</f>
        <v/>
      </c>
      <c r="N76" s="14">
        <f>IF(AND(L76&gt;0,J76&gt;0),L76-J76,"")</f>
        <v/>
      </c>
      <c r="O76" s="14">
        <f>D76*K76</f>
        <v/>
      </c>
      <c r="P76" s="14">
        <f>D76*L76</f>
        <v/>
      </c>
      <c r="Q76" s="14">
        <f>IF(I76&gt;0,I76*D76,"")</f>
        <v/>
      </c>
      <c r="R76" s="14">
        <f>IF(J76&gt;0,J76*D76,"")</f>
        <v/>
      </c>
      <c r="S76" s="14">
        <f>IF(R76&gt;0,O76-R76,"")</f>
        <v/>
      </c>
      <c r="T76" s="14">
        <f>IF(R76&gt;0,P76-R76,"")</f>
        <v/>
      </c>
      <c r="U76" s="14">
        <f>ROUND((E76-G76)*D76,0)</f>
        <v/>
      </c>
    </row>
    <row r="77">
      <c r="A77" t="inlineStr">
        <is>
          <t>KSA-RE047</t>
        </is>
      </c>
      <c r="B77" t="inlineStr">
        <is>
          <t>AMORTIGUADOR RENAULT CLIO CAMPUS DEL Esp Largo - Plato Bajo peq</t>
        </is>
      </c>
      <c r="C77" t="inlineStr">
        <is>
          <t>Renault</t>
        </is>
      </c>
      <c r="D77" s="19" t="n">
        <v>2</v>
      </c>
      <c r="E77" s="14" t="n">
        <v>129320</v>
      </c>
      <c r="F77" s="14">
        <f>D77*E77</f>
        <v/>
      </c>
      <c r="G77" s="14" t="n">
        <v>96990</v>
      </c>
      <c r="H77" s="14">
        <f>IF(G77&gt;0,ROUND(G77*1.19,0),"")</f>
        <v/>
      </c>
      <c r="I77" s="14">
        <f>IF(H77&gt;0,ROUND(H77*0.08,0),"")</f>
        <v/>
      </c>
      <c r="J77" s="14">
        <f>IF(H77&gt;0,H77+I77,"")</f>
        <v/>
      </c>
      <c r="K77" s="14" t="n">
        <v>146600</v>
      </c>
      <c r="L77" s="14" t="n">
        <v>166200</v>
      </c>
      <c r="M77" s="14">
        <f>IF(AND(K77&gt;0,J77&gt;0),K77-J77,"")</f>
        <v/>
      </c>
      <c r="N77" s="14">
        <f>IF(AND(L77&gt;0,J77&gt;0),L77-J77,"")</f>
        <v/>
      </c>
      <c r="O77" s="14">
        <f>D77*K77</f>
        <v/>
      </c>
      <c r="P77" s="14">
        <f>D77*L77</f>
        <v/>
      </c>
      <c r="Q77" s="14">
        <f>IF(I77&gt;0,I77*D77,"")</f>
        <v/>
      </c>
      <c r="R77" s="14">
        <f>IF(J77&gt;0,J77*D77,"")</f>
        <v/>
      </c>
      <c r="S77" s="14">
        <f>IF(R77&gt;0,O77-R77,"")</f>
        <v/>
      </c>
      <c r="T77" s="14">
        <f>IF(R77&gt;0,P77-R77,"")</f>
        <v/>
      </c>
      <c r="U77" s="14">
        <f>ROUND((E77-G77)*D77,0)</f>
        <v/>
      </c>
    </row>
    <row r="78">
      <c r="A78" t="inlineStr">
        <is>
          <t>KBJ-4068</t>
        </is>
      </c>
      <c r="B78" t="inlineStr">
        <is>
          <t>Rótula Logan 15-06 Sandero 15-06 MG2 SC2</t>
        </is>
      </c>
      <c r="C78" t="inlineStr">
        <is>
          <t>Renault</t>
        </is>
      </c>
      <c r="D78" s="19" t="n">
        <v>2</v>
      </c>
      <c r="E78" s="14" t="n">
        <v>18570</v>
      </c>
      <c r="F78" s="14">
        <f>D78*E78</f>
        <v/>
      </c>
      <c r="G78" s="14" t="n">
        <v>13928</v>
      </c>
      <c r="H78" s="14">
        <f>IF(G78&gt;0,ROUND(G78*1.19,0),"")</f>
        <v/>
      </c>
      <c r="I78" s="14">
        <f>IF(H78&gt;0,ROUND(H78*0.08,0),"")</f>
        <v/>
      </c>
      <c r="J78" s="14">
        <f>IF(H78&gt;0,H78+I78,"")</f>
        <v/>
      </c>
      <c r="K78" s="14" t="n">
        <v>27500</v>
      </c>
      <c r="L78" s="14" t="n">
        <v>32500</v>
      </c>
      <c r="M78" s="14">
        <f>IF(AND(K78&gt;0,J78&gt;0),K78-J78,"")</f>
        <v/>
      </c>
      <c r="N78" s="14">
        <f>IF(AND(L78&gt;0,J78&gt;0),L78-J78,"")</f>
        <v/>
      </c>
      <c r="O78" s="14">
        <f>D78*K78</f>
        <v/>
      </c>
      <c r="P78" s="14">
        <f>D78*L78</f>
        <v/>
      </c>
      <c r="Q78" s="14">
        <f>IF(I78&gt;0,I78*D78,"")</f>
        <v/>
      </c>
      <c r="R78" s="14">
        <f>IF(J78&gt;0,J78*D78,"")</f>
        <v/>
      </c>
      <c r="S78" s="14">
        <f>IF(R78&gt;0,O78-R78,"")</f>
        <v/>
      </c>
      <c r="T78" s="14">
        <f>IF(R78&gt;0,P78-R78,"")</f>
        <v/>
      </c>
      <c r="U78" s="14">
        <f>ROUND((E78-G78)*D78,0)</f>
        <v/>
      </c>
    </row>
    <row r="79">
      <c r="A79" t="inlineStr">
        <is>
          <t>KBJ-4064</t>
        </is>
      </c>
      <c r="B79" t="inlineStr">
        <is>
          <t>Rótula R9-19-21RC-CL-TW</t>
        </is>
      </c>
      <c r="C79" t="inlineStr">
        <is>
          <t>Renault</t>
        </is>
      </c>
      <c r="D79" s="19" t="n">
        <v>2</v>
      </c>
      <c r="E79" s="14" t="n">
        <v>23010</v>
      </c>
      <c r="F79" s="14">
        <f>D79*E79</f>
        <v/>
      </c>
      <c r="G79" s="14" t="n">
        <v>17258</v>
      </c>
      <c r="H79" s="14">
        <f>IF(G79&gt;0,ROUND(G79*1.19,0),"")</f>
        <v/>
      </c>
      <c r="I79" s="14">
        <f>IF(H79&gt;0,ROUND(H79*0.08,0),"")</f>
        <v/>
      </c>
      <c r="J79" s="14">
        <f>IF(H79&gt;0,H79+I79,"")</f>
        <v/>
      </c>
      <c r="K79" s="14" t="n">
        <v>34100</v>
      </c>
      <c r="L79" s="14" t="n">
        <v>40300</v>
      </c>
      <c r="M79" s="14">
        <f>IF(AND(K79&gt;0,J79&gt;0),K79-J79,"")</f>
        <v/>
      </c>
      <c r="N79" s="14">
        <f>IF(AND(L79&gt;0,J79&gt;0),L79-J79,"")</f>
        <v/>
      </c>
      <c r="O79" s="14">
        <f>D79*K79</f>
        <v/>
      </c>
      <c r="P79" s="14">
        <f>D79*L79</f>
        <v/>
      </c>
      <c r="Q79" s="14">
        <f>IF(I79&gt;0,I79*D79,"")</f>
        <v/>
      </c>
      <c r="R79" s="14">
        <f>IF(J79&gt;0,J79*D79,"")</f>
        <v/>
      </c>
      <c r="S79" s="14">
        <f>IF(R79&gt;0,O79-R79,"")</f>
        <v/>
      </c>
      <c r="T79" s="14">
        <f>IF(R79&gt;0,P79-R79,"")</f>
        <v/>
      </c>
      <c r="U79" s="14">
        <f>ROUND((E79-G79)*D79,0)</f>
        <v/>
      </c>
    </row>
    <row r="80">
      <c r="A80" t="inlineStr">
        <is>
          <t>KBJ-4065</t>
        </is>
      </c>
      <c r="B80" t="inlineStr">
        <is>
          <t>Rótula Clio 2</t>
        </is>
      </c>
      <c r="C80" t="inlineStr">
        <is>
          <t>Renault</t>
        </is>
      </c>
      <c r="D80" s="19" t="n">
        <v>2</v>
      </c>
      <c r="E80" s="14" t="n">
        <v>27630</v>
      </c>
      <c r="F80" s="14">
        <f>D80*E80</f>
        <v/>
      </c>
      <c r="G80" s="14" t="n">
        <v>20723</v>
      </c>
      <c r="H80" s="14">
        <f>IF(G80&gt;0,ROUND(G80*1.19,0),"")</f>
        <v/>
      </c>
      <c r="I80" s="14">
        <f>IF(H80&gt;0,ROUND(H80*0.08,0),"")</f>
        <v/>
      </c>
      <c r="J80" s="14">
        <f>IF(H80&gt;0,H80+I80,"")</f>
        <v/>
      </c>
      <c r="K80" s="14" t="n">
        <v>41000</v>
      </c>
      <c r="L80" s="14" t="n">
        <v>48400</v>
      </c>
      <c r="M80" s="14">
        <f>IF(AND(K80&gt;0,J80&gt;0),K80-J80,"")</f>
        <v/>
      </c>
      <c r="N80" s="14">
        <f>IF(AND(L80&gt;0,J80&gt;0),L80-J80,"")</f>
        <v/>
      </c>
      <c r="O80" s="14">
        <f>D80*K80</f>
        <v/>
      </c>
      <c r="P80" s="14">
        <f>D80*L80</f>
        <v/>
      </c>
      <c r="Q80" s="14">
        <f>IF(I80&gt;0,I80*D80,"")</f>
        <v/>
      </c>
      <c r="R80" s="14">
        <f>IF(J80&gt;0,J80*D80,"")</f>
        <v/>
      </c>
      <c r="S80" s="14">
        <f>IF(R80&gt;0,O80-R80,"")</f>
        <v/>
      </c>
      <c r="T80" s="14">
        <f>IF(R80&gt;0,P80-R80,"")</f>
        <v/>
      </c>
      <c r="U80" s="14">
        <f>ROUND((E80-G80)*D80,0)</f>
        <v/>
      </c>
    </row>
    <row r="81">
      <c r="A81" t="inlineStr">
        <is>
          <t>KBJ-4108</t>
        </is>
      </c>
      <c r="B81" t="inlineStr">
        <is>
          <t>Rótula Logan 23-16 Sandero 23-16 STW 23-16</t>
        </is>
      </c>
      <c r="C81" t="inlineStr">
        <is>
          <t>Renault</t>
        </is>
      </c>
      <c r="D81" s="19" t="n">
        <v>2</v>
      </c>
      <c r="E81" s="14" t="n">
        <v>21870</v>
      </c>
      <c r="F81" s="14">
        <f>D81*E81</f>
        <v/>
      </c>
      <c r="G81" s="14" t="n">
        <v>16403</v>
      </c>
      <c r="H81" s="14">
        <f>IF(G81&gt;0,ROUND(G81*1.19,0),"")</f>
        <v/>
      </c>
      <c r="I81" s="14">
        <f>IF(H81&gt;0,ROUND(H81*0.08,0),"")</f>
        <v/>
      </c>
      <c r="J81" s="14">
        <f>IF(H81&gt;0,H81+I81,"")</f>
        <v/>
      </c>
      <c r="K81" s="14" t="n">
        <v>32400</v>
      </c>
      <c r="L81" s="14" t="n">
        <v>38300</v>
      </c>
      <c r="M81" s="14">
        <f>IF(AND(K81&gt;0,J81&gt;0),K81-J81,"")</f>
        <v/>
      </c>
      <c r="N81" s="14">
        <f>IF(AND(L81&gt;0,J81&gt;0),L81-J81,"")</f>
        <v/>
      </c>
      <c r="O81" s="14">
        <f>D81*K81</f>
        <v/>
      </c>
      <c r="P81" s="14">
        <f>D81*L81</f>
        <v/>
      </c>
      <c r="Q81" s="14">
        <f>IF(I81&gt;0,I81*D81,"")</f>
        <v/>
      </c>
      <c r="R81" s="14">
        <f>IF(J81&gt;0,J81*D81,"")</f>
        <v/>
      </c>
      <c r="S81" s="14">
        <f>IF(R81&gt;0,O81-R81,"")</f>
        <v/>
      </c>
      <c r="T81" s="14">
        <f>IF(R81&gt;0,P81-R81,"")</f>
        <v/>
      </c>
      <c r="U81" s="14">
        <f>ROUND((E81-G81)*D81,0)</f>
        <v/>
      </c>
    </row>
    <row r="82">
      <c r="A82" t="inlineStr">
        <is>
          <t>KTR-6013</t>
        </is>
      </c>
      <c r="B82" t="inlineStr">
        <is>
          <t>Terminal Dirección Megane 2 IZQ</t>
        </is>
      </c>
      <c r="C82" t="inlineStr">
        <is>
          <t>Renault</t>
        </is>
      </c>
      <c r="D82" s="19" t="n">
        <v>2</v>
      </c>
      <c r="E82" s="14" t="n">
        <v>36040</v>
      </c>
      <c r="F82" s="14">
        <f>D82*E82</f>
        <v/>
      </c>
      <c r="G82" s="14" t="n">
        <v>27030</v>
      </c>
      <c r="H82" s="14">
        <f>IF(G82&gt;0,ROUND(G82*1.19,0),"")</f>
        <v/>
      </c>
      <c r="I82" s="14">
        <f>IF(H82&gt;0,ROUND(H82*0.08,0),"")</f>
        <v/>
      </c>
      <c r="J82" s="14">
        <f>IF(H82&gt;0,H82+I82,"")</f>
        <v/>
      </c>
      <c r="K82" s="14" t="n">
        <v>53400</v>
      </c>
      <c r="L82" s="14" t="n">
        <v>63200</v>
      </c>
      <c r="M82" s="14">
        <f>IF(AND(K82&gt;0,J82&gt;0),K82-J82,"")</f>
        <v/>
      </c>
      <c r="N82" s="14">
        <f>IF(AND(L82&gt;0,J82&gt;0),L82-J82,"")</f>
        <v/>
      </c>
      <c r="O82" s="14">
        <f>D82*K82</f>
        <v/>
      </c>
      <c r="P82" s="14">
        <f>D82*L82</f>
        <v/>
      </c>
      <c r="Q82" s="14">
        <f>IF(I82&gt;0,I82*D82,"")</f>
        <v/>
      </c>
      <c r="R82" s="14">
        <f>IF(J82&gt;0,J82*D82,"")</f>
        <v/>
      </c>
      <c r="S82" s="14">
        <f>IF(R82&gt;0,O82-R82,"")</f>
        <v/>
      </c>
      <c r="T82" s="14">
        <f>IF(R82&gt;0,P82-R82,"")</f>
        <v/>
      </c>
      <c r="U82" s="14">
        <f>ROUND((E82-G82)*D82,0)</f>
        <v/>
      </c>
    </row>
    <row r="83">
      <c r="A83" t="inlineStr">
        <is>
          <t>KTR-6014</t>
        </is>
      </c>
      <c r="B83" t="inlineStr">
        <is>
          <t>Terminal Dirección Megane 2 DER</t>
        </is>
      </c>
      <c r="C83" t="inlineStr">
        <is>
          <t>Renault</t>
        </is>
      </c>
      <c r="D83" s="19" t="n">
        <v>2</v>
      </c>
      <c r="E83" s="14" t="n">
        <v>36040</v>
      </c>
      <c r="F83" s="14">
        <f>D83*E83</f>
        <v/>
      </c>
      <c r="G83" s="14" t="n">
        <v>27030</v>
      </c>
      <c r="H83" s="14">
        <f>IF(G83&gt;0,ROUND(G83*1.19,0),"")</f>
        <v/>
      </c>
      <c r="I83" s="14">
        <f>IF(H83&gt;0,ROUND(H83*0.08,0),"")</f>
        <v/>
      </c>
      <c r="J83" s="14">
        <f>IF(H83&gt;0,H83+I83,"")</f>
        <v/>
      </c>
      <c r="K83" s="14" t="n">
        <v>53400</v>
      </c>
      <c r="L83" s="14" t="n">
        <v>63200</v>
      </c>
      <c r="M83" s="14">
        <f>IF(AND(K83&gt;0,J83&gt;0),K83-J83,"")</f>
        <v/>
      </c>
      <c r="N83" s="14">
        <f>IF(AND(L83&gt;0,J83&gt;0),L83-J83,"")</f>
        <v/>
      </c>
      <c r="O83" s="14">
        <f>D83*K83</f>
        <v/>
      </c>
      <c r="P83" s="14">
        <f>D83*L83</f>
        <v/>
      </c>
      <c r="Q83" s="14">
        <f>IF(I83&gt;0,I83*D83,"")</f>
        <v/>
      </c>
      <c r="R83" s="14">
        <f>IF(J83&gt;0,J83*D83,"")</f>
        <v/>
      </c>
      <c r="S83" s="14">
        <f>IF(R83&gt;0,O83-R83,"")</f>
        <v/>
      </c>
      <c r="T83" s="14">
        <f>IF(R83&gt;0,P83-R83,"")</f>
        <v/>
      </c>
      <c r="U83" s="14">
        <f>ROUND((E83-G83)*D83,0)</f>
        <v/>
      </c>
    </row>
    <row r="84">
      <c r="A84" t="inlineStr">
        <is>
          <t>KBJ-4066</t>
        </is>
      </c>
      <c r="B84" t="inlineStr">
        <is>
          <t>Rótula Duster</t>
        </is>
      </c>
      <c r="C84" t="inlineStr">
        <is>
          <t>Renault</t>
        </is>
      </c>
      <c r="D84" s="19" t="n">
        <v>2</v>
      </c>
      <c r="E84" s="14" t="n">
        <v>34630</v>
      </c>
      <c r="F84" s="14">
        <f>D84*E84</f>
        <v/>
      </c>
      <c r="G84" s="14" t="n">
        <v>25973</v>
      </c>
      <c r="H84" s="14">
        <f>IF(G84&gt;0,ROUND(G84*1.19,0),"")</f>
        <v/>
      </c>
      <c r="I84" s="14">
        <f>IF(H84&gt;0,ROUND(H84*0.08,0),"")</f>
        <v/>
      </c>
      <c r="J84" s="14">
        <f>IF(H84&gt;0,H84+I84,"")</f>
        <v/>
      </c>
      <c r="K84" s="14" t="n">
        <v>51400</v>
      </c>
      <c r="L84" s="14" t="n">
        <v>60700</v>
      </c>
      <c r="M84" s="14">
        <f>IF(AND(K84&gt;0,J84&gt;0),K84-J84,"")</f>
        <v/>
      </c>
      <c r="N84" s="14">
        <f>IF(AND(L84&gt;0,J84&gt;0),L84-J84,"")</f>
        <v/>
      </c>
      <c r="O84" s="14">
        <f>D84*K84</f>
        <v/>
      </c>
      <c r="P84" s="14">
        <f>D84*L84</f>
        <v/>
      </c>
      <c r="Q84" s="14">
        <f>IF(I84&gt;0,I84*D84,"")</f>
        <v/>
      </c>
      <c r="R84" s="14">
        <f>IF(J84&gt;0,J84*D84,"")</f>
        <v/>
      </c>
      <c r="S84" s="14">
        <f>IF(R84&gt;0,O84-R84,"")</f>
        <v/>
      </c>
      <c r="T84" s="14">
        <f>IF(R84&gt;0,P84-R84,"")</f>
        <v/>
      </c>
      <c r="U84" s="14">
        <f>ROUND((E84-G84)*D84,0)</f>
        <v/>
      </c>
    </row>
    <row r="85">
      <c r="A85" t="inlineStr">
        <is>
          <t>KTR-6007</t>
        </is>
      </c>
      <c r="B85" t="inlineStr">
        <is>
          <t>Terminal Dir Logan I IZQ</t>
        </is>
      </c>
      <c r="C85" t="inlineStr">
        <is>
          <t>Renault</t>
        </is>
      </c>
      <c r="D85" s="19" t="n">
        <v>2</v>
      </c>
      <c r="E85" s="14" t="n">
        <v>27100</v>
      </c>
      <c r="F85" s="14">
        <f>D85*E85</f>
        <v/>
      </c>
      <c r="G85" s="14" t="n">
        <v>20325</v>
      </c>
      <c r="H85" s="14">
        <f>IF(G85&gt;0,ROUND(G85*1.19,0),"")</f>
        <v/>
      </c>
      <c r="I85" s="14">
        <f>IF(H85&gt;0,ROUND(H85*0.08,0),"")</f>
        <v/>
      </c>
      <c r="J85" s="14">
        <f>IF(H85&gt;0,H85+I85,"")</f>
        <v/>
      </c>
      <c r="K85" s="14" t="n">
        <v>40200</v>
      </c>
      <c r="L85" s="14" t="n">
        <v>47500</v>
      </c>
      <c r="M85" s="14">
        <f>IF(AND(K85&gt;0,J85&gt;0),K85-J85,"")</f>
        <v/>
      </c>
      <c r="N85" s="14">
        <f>IF(AND(L85&gt;0,J85&gt;0),L85-J85,"")</f>
        <v/>
      </c>
      <c r="O85" s="14">
        <f>D85*K85</f>
        <v/>
      </c>
      <c r="P85" s="14">
        <f>D85*L85</f>
        <v/>
      </c>
      <c r="Q85" s="14">
        <f>IF(I85&gt;0,I85*D85,"")</f>
        <v/>
      </c>
      <c r="R85" s="14">
        <f>IF(J85&gt;0,J85*D85,"")</f>
        <v/>
      </c>
      <c r="S85" s="14">
        <f>IF(R85&gt;0,O85-R85,"")</f>
        <v/>
      </c>
      <c r="T85" s="14">
        <f>IF(R85&gt;0,P85-R85,"")</f>
        <v/>
      </c>
      <c r="U85" s="14">
        <f>ROUND((E85-G85)*D85,0)</f>
        <v/>
      </c>
    </row>
    <row r="86">
      <c r="A86" t="inlineStr">
        <is>
          <t>KTR-6005</t>
        </is>
      </c>
      <c r="B86" t="inlineStr">
        <is>
          <t>Terminal Dir Duster 4x4 IZQ</t>
        </is>
      </c>
      <c r="C86" t="inlineStr">
        <is>
          <t>Renault</t>
        </is>
      </c>
      <c r="D86" s="19" t="n">
        <v>2</v>
      </c>
      <c r="E86" s="14" t="n">
        <v>37360</v>
      </c>
      <c r="F86" s="14">
        <f>D86*E86</f>
        <v/>
      </c>
      <c r="G86" s="14" t="n">
        <v>28020</v>
      </c>
      <c r="H86" s="14">
        <f>IF(G86&gt;0,ROUND(G86*1.19,0),"")</f>
        <v/>
      </c>
      <c r="I86" s="14">
        <f>IF(H86&gt;0,ROUND(H86*0.08,0),"")</f>
        <v/>
      </c>
      <c r="J86" s="14">
        <f>IF(H86&gt;0,H86+I86,"")</f>
        <v/>
      </c>
      <c r="K86" s="14" t="n">
        <v>55400</v>
      </c>
      <c r="L86" s="14" t="n">
        <v>65500</v>
      </c>
      <c r="M86" s="14">
        <f>IF(AND(K86&gt;0,J86&gt;0),K86-J86,"")</f>
        <v/>
      </c>
      <c r="N86" s="14">
        <f>IF(AND(L86&gt;0,J86&gt;0),L86-J86,"")</f>
        <v/>
      </c>
      <c r="O86" s="14">
        <f>D86*K86</f>
        <v/>
      </c>
      <c r="P86" s="14">
        <f>D86*L86</f>
        <v/>
      </c>
      <c r="Q86" s="14">
        <f>IF(I86&gt;0,I86*D86,"")</f>
        <v/>
      </c>
      <c r="R86" s="14">
        <f>IF(J86&gt;0,J86*D86,"")</f>
        <v/>
      </c>
      <c r="S86" s="14">
        <f>IF(R86&gt;0,O86-R86,"")</f>
        <v/>
      </c>
      <c r="T86" s="14">
        <f>IF(R86&gt;0,P86-R86,"")</f>
        <v/>
      </c>
      <c r="U86" s="14">
        <f>ROUND((E86-G86)*D86,0)</f>
        <v/>
      </c>
    </row>
    <row r="87">
      <c r="A87" t="inlineStr">
        <is>
          <t>KRE-6215</t>
        </is>
      </c>
      <c r="B87" t="inlineStr">
        <is>
          <t>Terminal Axial Megane II - Scenic II</t>
        </is>
      </c>
      <c r="C87" t="inlineStr">
        <is>
          <t>Renault</t>
        </is>
      </c>
      <c r="D87" s="19" t="n">
        <v>2</v>
      </c>
      <c r="E87" s="14" t="n">
        <v>26270</v>
      </c>
      <c r="F87" s="14">
        <f>D87*E87</f>
        <v/>
      </c>
      <c r="G87" s="14" t="n">
        <v>19703</v>
      </c>
      <c r="H87" s="14">
        <f>IF(G87&gt;0,ROUND(G87*1.19,0),"")</f>
        <v/>
      </c>
      <c r="I87" s="14">
        <f>IF(H87&gt;0,ROUND(H87*0.08,0),"")</f>
        <v/>
      </c>
      <c r="J87" s="14">
        <f>IF(H87&gt;0,H87+I87,"")</f>
        <v/>
      </c>
      <c r="K87" s="14" t="n">
        <v>39000</v>
      </c>
      <c r="L87" s="14" t="n">
        <v>46000</v>
      </c>
      <c r="M87" s="14">
        <f>IF(AND(K87&gt;0,J87&gt;0),K87-J87,"")</f>
        <v/>
      </c>
      <c r="N87" s="14">
        <f>IF(AND(L87&gt;0,J87&gt;0),L87-J87,"")</f>
        <v/>
      </c>
      <c r="O87" s="14">
        <f>D87*K87</f>
        <v/>
      </c>
      <c r="P87" s="14">
        <f>D87*L87</f>
        <v/>
      </c>
      <c r="Q87" s="14">
        <f>IF(I87&gt;0,I87*D87,"")</f>
        <v/>
      </c>
      <c r="R87" s="14">
        <f>IF(J87&gt;0,J87*D87,"")</f>
        <v/>
      </c>
      <c r="S87" s="14">
        <f>IF(R87&gt;0,O87-R87,"")</f>
        <v/>
      </c>
      <c r="T87" s="14">
        <f>IF(R87&gt;0,P87-R87,"")</f>
        <v/>
      </c>
      <c r="U87" s="14">
        <f>ROUND((E87-G87)*D87,0)</f>
        <v/>
      </c>
    </row>
    <row r="88">
      <c r="A88" t="inlineStr">
        <is>
          <t>KTR-6006</t>
        </is>
      </c>
      <c r="B88" t="inlineStr">
        <is>
          <t>Terminal Dir Duster 4x4 DER</t>
        </is>
      </c>
      <c r="C88" t="inlineStr">
        <is>
          <t>Renault</t>
        </is>
      </c>
      <c r="D88" s="19" t="n">
        <v>2</v>
      </c>
      <c r="E88" s="14" t="n">
        <v>37360</v>
      </c>
      <c r="F88" s="14">
        <f>D88*E88</f>
        <v/>
      </c>
      <c r="G88" s="14" t="n">
        <v>28020</v>
      </c>
      <c r="H88" s="14">
        <f>IF(G88&gt;0,ROUND(G88*1.19,0),"")</f>
        <v/>
      </c>
      <c r="I88" s="14">
        <f>IF(H88&gt;0,ROUND(H88*0.08,0),"")</f>
        <v/>
      </c>
      <c r="J88" s="14">
        <f>IF(H88&gt;0,H88+I88,"")</f>
        <v/>
      </c>
      <c r="K88" s="14" t="n">
        <v>55400</v>
      </c>
      <c r="L88" s="14" t="n">
        <v>65500</v>
      </c>
      <c r="M88" s="14">
        <f>IF(AND(K88&gt;0,J88&gt;0),K88-J88,"")</f>
        <v/>
      </c>
      <c r="N88" s="14">
        <f>IF(AND(L88&gt;0,J88&gt;0),L88-J88,"")</f>
        <v/>
      </c>
      <c r="O88" s="14">
        <f>D88*K88</f>
        <v/>
      </c>
      <c r="P88" s="14">
        <f>D88*L88</f>
        <v/>
      </c>
      <c r="Q88" s="14">
        <f>IF(I88&gt;0,I88*D88,"")</f>
        <v/>
      </c>
      <c r="R88" s="14">
        <f>IF(J88&gt;0,J88*D88,"")</f>
        <v/>
      </c>
      <c r="S88" s="14">
        <f>IF(R88&gt;0,O88-R88,"")</f>
        <v/>
      </c>
      <c r="T88" s="14">
        <f>IF(R88&gt;0,P88-R88,"")</f>
        <v/>
      </c>
      <c r="U88" s="14">
        <f>ROUND((E88-G88)*D88,0)</f>
        <v/>
      </c>
    </row>
    <row r="89">
      <c r="A89" t="inlineStr">
        <is>
          <t>KSL-3008</t>
        </is>
      </c>
      <c r="B89" t="inlineStr">
        <is>
          <t>Bieleta Estab. Twingo 16V DER</t>
        </is>
      </c>
      <c r="C89" t="inlineStr">
        <is>
          <t>Renault</t>
        </is>
      </c>
      <c r="D89" s="19" t="n">
        <v>2</v>
      </c>
      <c r="E89" s="14" t="n">
        <v>22220</v>
      </c>
      <c r="F89" s="14">
        <f>D89*E89</f>
        <v/>
      </c>
      <c r="G89" s="14" t="n">
        <v>16665</v>
      </c>
      <c r="H89" s="14">
        <f>IF(G89&gt;0,ROUND(G89*1.19,0),"")</f>
        <v/>
      </c>
      <c r="I89" s="14">
        <f>IF(H89&gt;0,ROUND(H89*0.08,0),"")</f>
        <v/>
      </c>
      <c r="J89" s="14">
        <f>IF(H89&gt;0,H89+I89,"")</f>
        <v/>
      </c>
      <c r="K89" s="14" t="n">
        <v>32900</v>
      </c>
      <c r="L89" s="14" t="n">
        <v>38900</v>
      </c>
      <c r="M89" s="14">
        <f>IF(AND(K89&gt;0,J89&gt;0),K89-J89,"")</f>
        <v/>
      </c>
      <c r="N89" s="14">
        <f>IF(AND(L89&gt;0,J89&gt;0),L89-J89,"")</f>
        <v/>
      </c>
      <c r="O89" s="14">
        <f>D89*K89</f>
        <v/>
      </c>
      <c r="P89" s="14">
        <f>D89*L89</f>
        <v/>
      </c>
      <c r="Q89" s="14">
        <f>IF(I89&gt;0,I89*D89,"")</f>
        <v/>
      </c>
      <c r="R89" s="14">
        <f>IF(J89&gt;0,J89*D89,"")</f>
        <v/>
      </c>
      <c r="S89" s="14">
        <f>IF(R89&gt;0,O89-R89,"")</f>
        <v/>
      </c>
      <c r="T89" s="14">
        <f>IF(R89&gt;0,P89-R89,"")</f>
        <v/>
      </c>
      <c r="U89" s="14">
        <f>ROUND((E89-G89)*D89,0)</f>
        <v/>
      </c>
    </row>
    <row r="90">
      <c r="A90" t="inlineStr">
        <is>
          <t>KRE-6217</t>
        </is>
      </c>
      <c r="B90" t="inlineStr">
        <is>
          <t>Terminal Axial Logan II 20-11 Sandero II-Stepway II</t>
        </is>
      </c>
      <c r="C90" t="inlineStr">
        <is>
          <t>Renault</t>
        </is>
      </c>
      <c r="D90" s="19" t="n">
        <v>2</v>
      </c>
      <c r="E90" s="14" t="n">
        <v>26270</v>
      </c>
      <c r="F90" s="14">
        <f>D90*E90</f>
        <v/>
      </c>
      <c r="G90" s="14" t="n">
        <v>19703</v>
      </c>
      <c r="H90" s="14">
        <f>IF(G90&gt;0,ROUND(G90*1.19,0),"")</f>
        <v/>
      </c>
      <c r="I90" s="14">
        <f>IF(H90&gt;0,ROUND(H90*0.08,0),"")</f>
        <v/>
      </c>
      <c r="J90" s="14">
        <f>IF(H90&gt;0,H90+I90,"")</f>
        <v/>
      </c>
      <c r="K90" s="14" t="n">
        <v>39000</v>
      </c>
      <c r="L90" s="14" t="n">
        <v>46000</v>
      </c>
      <c r="M90" s="14">
        <f>IF(AND(K90&gt;0,J90&gt;0),K90-J90,"")</f>
        <v/>
      </c>
      <c r="N90" s="14">
        <f>IF(AND(L90&gt;0,J90&gt;0),L90-J90,"")</f>
        <v/>
      </c>
      <c r="O90" s="14">
        <f>D90*K90</f>
        <v/>
      </c>
      <c r="P90" s="14">
        <f>D90*L90</f>
        <v/>
      </c>
      <c r="Q90" s="14">
        <f>IF(I90&gt;0,I90*D90,"")</f>
        <v/>
      </c>
      <c r="R90" s="14">
        <f>IF(J90&gt;0,J90*D90,"")</f>
        <v/>
      </c>
      <c r="S90" s="14">
        <f>IF(R90&gt;0,O90-R90,"")</f>
        <v/>
      </c>
      <c r="T90" s="14">
        <f>IF(R90&gt;0,P90-R90,"")</f>
        <v/>
      </c>
      <c r="U90" s="14">
        <f>ROUND((E90-G90)*D90,0)</f>
        <v/>
      </c>
    </row>
    <row r="91">
      <c r="A91" t="inlineStr">
        <is>
          <t>KSL-3007</t>
        </is>
      </c>
      <c r="B91" t="inlineStr">
        <is>
          <t>Bieleta Estab. Twingo 16V IZQ</t>
        </is>
      </c>
      <c r="C91" t="inlineStr">
        <is>
          <t>Renault</t>
        </is>
      </c>
      <c r="D91" s="19" t="n">
        <v>2</v>
      </c>
      <c r="E91" s="14" t="n">
        <v>22220</v>
      </c>
      <c r="F91" s="14">
        <f>D91*E91</f>
        <v/>
      </c>
      <c r="G91" s="14" t="n">
        <v>16665</v>
      </c>
      <c r="H91" s="14">
        <f>IF(G91&gt;0,ROUND(G91*1.19,0),"")</f>
        <v/>
      </c>
      <c r="I91" s="14">
        <f>IF(H91&gt;0,ROUND(H91*0.08,0),"")</f>
        <v/>
      </c>
      <c r="J91" s="14">
        <f>IF(H91&gt;0,H91+I91,"")</f>
        <v/>
      </c>
      <c r="K91" s="14" t="n">
        <v>32900</v>
      </c>
      <c r="L91" s="14" t="n">
        <v>38900</v>
      </c>
      <c r="M91" s="14">
        <f>IF(AND(K91&gt;0,J91&gt;0),K91-J91,"")</f>
        <v/>
      </c>
      <c r="N91" s="14">
        <f>IF(AND(L91&gt;0,J91&gt;0),L91-J91,"")</f>
        <v/>
      </c>
      <c r="O91" s="14">
        <f>D91*K91</f>
        <v/>
      </c>
      <c r="P91" s="14">
        <f>D91*L91</f>
        <v/>
      </c>
      <c r="Q91" s="14">
        <f>IF(I91&gt;0,I91*D91,"")</f>
        <v/>
      </c>
      <c r="R91" s="14">
        <f>IF(J91&gt;0,J91*D91,"")</f>
        <v/>
      </c>
      <c r="S91" s="14">
        <f>IF(R91&gt;0,O91-R91,"")</f>
        <v/>
      </c>
      <c r="T91" s="14">
        <f>IF(R91&gt;0,P91-R91,"")</f>
        <v/>
      </c>
      <c r="U91" s="14">
        <f>ROUND((E91-G91)*D91,0)</f>
        <v/>
      </c>
    </row>
    <row r="92">
      <c r="A92" t="inlineStr">
        <is>
          <t>KRE-6211</t>
        </is>
      </c>
      <c r="B92" t="inlineStr">
        <is>
          <t>Terminal Axial Logan I 10-06 Sandero I rosca delgada</t>
        </is>
      </c>
      <c r="C92" t="inlineStr">
        <is>
          <t>Renault</t>
        </is>
      </c>
      <c r="D92" s="19" t="n">
        <v>2</v>
      </c>
      <c r="E92" s="14" t="n">
        <v>23540</v>
      </c>
      <c r="F92" s="14">
        <f>D92*E92</f>
        <v/>
      </c>
      <c r="G92" s="14" t="n">
        <v>17655</v>
      </c>
      <c r="H92" s="14">
        <f>IF(G92&gt;0,ROUND(G92*1.19,0),"")</f>
        <v/>
      </c>
      <c r="I92" s="14">
        <f>IF(H92&gt;0,ROUND(H92*0.08,0),"")</f>
        <v/>
      </c>
      <c r="J92" s="14">
        <f>IF(H92&gt;0,H92+I92,"")</f>
        <v/>
      </c>
      <c r="K92" s="14" t="n">
        <v>34900</v>
      </c>
      <c r="L92" s="14" t="n">
        <v>41300</v>
      </c>
      <c r="M92" s="14">
        <f>IF(AND(K92&gt;0,J92&gt;0),K92-J92,"")</f>
        <v/>
      </c>
      <c r="N92" s="14">
        <f>IF(AND(L92&gt;0,J92&gt;0),L92-J92,"")</f>
        <v/>
      </c>
      <c r="O92" s="14">
        <f>D92*K92</f>
        <v/>
      </c>
      <c r="P92" s="14">
        <f>D92*L92</f>
        <v/>
      </c>
      <c r="Q92" s="14">
        <f>IF(I92&gt;0,I92*D92,"")</f>
        <v/>
      </c>
      <c r="R92" s="14">
        <f>IF(J92&gt;0,J92*D92,"")</f>
        <v/>
      </c>
      <c r="S92" s="14">
        <f>IF(R92&gt;0,O92-R92,"")</f>
        <v/>
      </c>
      <c r="T92" s="14">
        <f>IF(R92&gt;0,P92-R92,"")</f>
        <v/>
      </c>
      <c r="U92" s="14">
        <f>ROUND((E92-G92)*D92,0)</f>
        <v/>
      </c>
    </row>
    <row r="93">
      <c r="A93" t="inlineStr">
        <is>
          <t>KSL-3002</t>
        </is>
      </c>
      <c r="B93" t="inlineStr">
        <is>
          <t>Bieleta Estab. Duster</t>
        </is>
      </c>
      <c r="C93" t="inlineStr">
        <is>
          <t>Renault</t>
        </is>
      </c>
      <c r="D93" s="19" t="n">
        <v>2</v>
      </c>
      <c r="E93" s="14" t="n">
        <v>20110</v>
      </c>
      <c r="F93" s="14">
        <f>D93*E93</f>
        <v/>
      </c>
      <c r="G93" s="14" t="n">
        <v>15083</v>
      </c>
      <c r="H93" s="14">
        <f>IF(G93&gt;0,ROUND(G93*1.19,0),"")</f>
        <v/>
      </c>
      <c r="I93" s="14">
        <f>IF(H93&gt;0,ROUND(H93*0.08,0),"")</f>
        <v/>
      </c>
      <c r="J93" s="14">
        <f>IF(H93&gt;0,H93+I93,"")</f>
        <v/>
      </c>
      <c r="K93" s="14" t="n">
        <v>29800</v>
      </c>
      <c r="L93" s="14" t="n">
        <v>35200</v>
      </c>
      <c r="M93" s="14">
        <f>IF(AND(K93&gt;0,J93&gt;0),K93-J93,"")</f>
        <v/>
      </c>
      <c r="N93" s="14">
        <f>IF(AND(L93&gt;0,J93&gt;0),L93-J93,"")</f>
        <v/>
      </c>
      <c r="O93" s="14">
        <f>D93*K93</f>
        <v/>
      </c>
      <c r="P93" s="14">
        <f>D93*L93</f>
        <v/>
      </c>
      <c r="Q93" s="14">
        <f>IF(I93&gt;0,I93*D93,"")</f>
        <v/>
      </c>
      <c r="R93" s="14">
        <f>IF(J93&gt;0,J93*D93,"")</f>
        <v/>
      </c>
      <c r="S93" s="14">
        <f>IF(R93&gt;0,O93-R93,"")</f>
        <v/>
      </c>
      <c r="T93" s="14">
        <f>IF(R93&gt;0,P93-R93,"")</f>
        <v/>
      </c>
      <c r="U93" s="14">
        <f>ROUND((E93-G93)*D93,0)</f>
        <v/>
      </c>
    </row>
    <row r="94">
      <c r="A94" t="inlineStr">
        <is>
          <t>KTR-6008</t>
        </is>
      </c>
      <c r="B94" t="inlineStr">
        <is>
          <t>Terminal Dir Logan I DER</t>
        </is>
      </c>
      <c r="C94" t="inlineStr">
        <is>
          <t>Renault</t>
        </is>
      </c>
      <c r="D94" s="19" t="n">
        <v>2</v>
      </c>
      <c r="E94" s="14" t="n">
        <v>27100</v>
      </c>
      <c r="F94" s="14">
        <f>D94*E94</f>
        <v/>
      </c>
      <c r="G94" s="14" t="n">
        <v>20325</v>
      </c>
      <c r="H94" s="14">
        <f>IF(G94&gt;0,ROUND(G94*1.19,0),"")</f>
        <v/>
      </c>
      <c r="I94" s="14">
        <f>IF(H94&gt;0,ROUND(H94*0.08,0),"")</f>
        <v/>
      </c>
      <c r="J94" s="14">
        <f>IF(H94&gt;0,H94+I94,"")</f>
        <v/>
      </c>
      <c r="K94" s="14" t="n">
        <v>40200</v>
      </c>
      <c r="L94" s="14" t="n">
        <v>47500</v>
      </c>
      <c r="M94" s="14">
        <f>IF(AND(K94&gt;0,J94&gt;0),K94-J94,"")</f>
        <v/>
      </c>
      <c r="N94" s="14">
        <f>IF(AND(L94&gt;0,J94&gt;0),L94-J94,"")</f>
        <v/>
      </c>
      <c r="O94" s="14">
        <f>D94*K94</f>
        <v/>
      </c>
      <c r="P94" s="14">
        <f>D94*L94</f>
        <v/>
      </c>
      <c r="Q94" s="14">
        <f>IF(I94&gt;0,I94*D94,"")</f>
        <v/>
      </c>
      <c r="R94" s="14">
        <f>IF(J94&gt;0,J94*D94,"")</f>
        <v/>
      </c>
      <c r="S94" s="14">
        <f>IF(R94&gt;0,O94-R94,"")</f>
        <v/>
      </c>
      <c r="T94" s="14">
        <f>IF(R94&gt;0,P94-R94,"")</f>
        <v/>
      </c>
      <c r="U94" s="14">
        <f>ROUND((E94-G94)*D94,0)</f>
        <v/>
      </c>
    </row>
    <row r="95">
      <c r="A95" t="inlineStr">
        <is>
          <t>KRE-6209</t>
        </is>
      </c>
      <c r="B95" t="inlineStr">
        <is>
          <t>Terminal Axial Clio II-Megane I-Scenic I Larga 310mm</t>
        </is>
      </c>
      <c r="C95" t="inlineStr">
        <is>
          <t>Renault</t>
        </is>
      </c>
      <c r="D95" s="19" t="n">
        <v>2</v>
      </c>
      <c r="E95" s="14" t="n">
        <v>23320</v>
      </c>
      <c r="F95" s="14">
        <f>D95*E95</f>
        <v/>
      </c>
      <c r="G95" s="14" t="n">
        <v>17490</v>
      </c>
      <c r="H95" s="14">
        <f>IF(G95&gt;0,ROUND(G95*1.19,0),"")</f>
        <v/>
      </c>
      <c r="I95" s="14">
        <f>IF(H95&gt;0,ROUND(H95*0.08,0),"")</f>
        <v/>
      </c>
      <c r="J95" s="14">
        <f>IF(H95&gt;0,H95+I95,"")</f>
        <v/>
      </c>
      <c r="K95" s="14" t="n">
        <v>34600</v>
      </c>
      <c r="L95" s="14" t="n">
        <v>40900</v>
      </c>
      <c r="M95" s="14">
        <f>IF(AND(K95&gt;0,J95&gt;0),K95-J95,"")</f>
        <v/>
      </c>
      <c r="N95" s="14">
        <f>IF(AND(L95&gt;0,J95&gt;0),L95-J95,"")</f>
        <v/>
      </c>
      <c r="O95" s="14">
        <f>D95*K95</f>
        <v/>
      </c>
      <c r="P95" s="14">
        <f>D95*L95</f>
        <v/>
      </c>
      <c r="Q95" s="14">
        <f>IF(I95&gt;0,I95*D95,"")</f>
        <v/>
      </c>
      <c r="R95" s="14">
        <f>IF(J95&gt;0,J95*D95,"")</f>
        <v/>
      </c>
      <c r="S95" s="14">
        <f>IF(R95&gt;0,O95-R95,"")</f>
        <v/>
      </c>
      <c r="T95" s="14">
        <f>IF(R95&gt;0,P95-R95,"")</f>
        <v/>
      </c>
      <c r="U95" s="14">
        <f>ROUND((E95-G95)*D95,0)</f>
        <v/>
      </c>
    </row>
    <row r="96">
      <c r="A96" t="inlineStr">
        <is>
          <t>KRE-6216</t>
        </is>
      </c>
      <c r="B96" t="inlineStr">
        <is>
          <t>Terminal Axial Twingo</t>
        </is>
      </c>
      <c r="C96" t="inlineStr">
        <is>
          <t>Renault</t>
        </is>
      </c>
      <c r="D96" s="19" t="n">
        <v>2</v>
      </c>
      <c r="E96" s="14" t="n">
        <v>23940</v>
      </c>
      <c r="F96" s="14">
        <f>D96*E96</f>
        <v/>
      </c>
      <c r="G96" s="14" t="n">
        <v>17955</v>
      </c>
      <c r="H96" s="14">
        <f>IF(G96&gt;0,ROUND(G96*1.19,0),"")</f>
        <v/>
      </c>
      <c r="I96" s="14">
        <f>IF(H96&gt;0,ROUND(H96*0.08,0),"")</f>
        <v/>
      </c>
      <c r="J96" s="14">
        <f>IF(H96&gt;0,H96+I96,"")</f>
        <v/>
      </c>
      <c r="K96" s="14" t="n">
        <v>35500</v>
      </c>
      <c r="L96" s="14" t="n">
        <v>42000</v>
      </c>
      <c r="M96" s="14">
        <f>IF(AND(K96&gt;0,J96&gt;0),K96-J96,"")</f>
        <v/>
      </c>
      <c r="N96" s="14">
        <f>IF(AND(L96&gt;0,J96&gt;0),L96-J96,"")</f>
        <v/>
      </c>
      <c r="O96" s="14">
        <f>D96*K96</f>
        <v/>
      </c>
      <c r="P96" s="14">
        <f>D96*L96</f>
        <v/>
      </c>
      <c r="Q96" s="14">
        <f>IF(I96&gt;0,I96*D96,"")</f>
        <v/>
      </c>
      <c r="R96" s="14">
        <f>IF(J96&gt;0,J96*D96,"")</f>
        <v/>
      </c>
      <c r="S96" s="14">
        <f>IF(R96&gt;0,O96-R96,"")</f>
        <v/>
      </c>
      <c r="T96" s="14">
        <f>IF(R96&gt;0,P96-R96,"")</f>
        <v/>
      </c>
      <c r="U96" s="14">
        <f>ROUND((E96-G96)*D96,0)</f>
        <v/>
      </c>
    </row>
    <row r="97">
      <c r="A97" t="inlineStr">
        <is>
          <t>KSA-RE018</t>
        </is>
      </c>
      <c r="B97" t="inlineStr">
        <is>
          <t>AMORTIGUADOR RENAULT LOGAN 22-16 DELANTERO 277mm x2</t>
        </is>
      </c>
      <c r="C97" t="inlineStr">
        <is>
          <t>Renault</t>
        </is>
      </c>
      <c r="D97" s="19" t="n">
        <v>2</v>
      </c>
      <c r="E97" s="14" t="n">
        <v>105120</v>
      </c>
      <c r="F97" s="14">
        <f>D97*E97</f>
        <v/>
      </c>
      <c r="G97" s="14" t="n">
        <v>78840</v>
      </c>
      <c r="H97" s="14">
        <f>IF(G97&gt;0,ROUND(G97*1.19,0),"")</f>
        <v/>
      </c>
      <c r="I97" s="14">
        <f>IF(H97&gt;0,ROUND(H97*0.08,0),"")</f>
        <v/>
      </c>
      <c r="J97" s="14">
        <f>IF(H97&gt;0,H97+I97,"")</f>
        <v/>
      </c>
      <c r="K97" s="14" t="n">
        <v>119200</v>
      </c>
      <c r="L97" s="14" t="n">
        <v>135100</v>
      </c>
      <c r="M97" s="14">
        <f>IF(AND(K97&gt;0,J97&gt;0),K97-J97,"")</f>
        <v/>
      </c>
      <c r="N97" s="14">
        <f>IF(AND(L97&gt;0,J97&gt;0),L97-J97,"")</f>
        <v/>
      </c>
      <c r="O97" s="14">
        <f>D97*K97</f>
        <v/>
      </c>
      <c r="P97" s="14">
        <f>D97*L97</f>
        <v/>
      </c>
      <c r="Q97" s="14">
        <f>IF(I97&gt;0,I97*D97,"")</f>
        <v/>
      </c>
      <c r="R97" s="14">
        <f>IF(J97&gt;0,J97*D97,"")</f>
        <v/>
      </c>
      <c r="S97" s="14">
        <f>IF(R97&gt;0,O97-R97,"")</f>
        <v/>
      </c>
      <c r="T97" s="14">
        <f>IF(R97&gt;0,P97-R97,"")</f>
        <v/>
      </c>
      <c r="U97" s="14">
        <f>ROUND((E97-G97)*D97,0)</f>
        <v/>
      </c>
    </row>
    <row r="98">
      <c r="A98" t="inlineStr">
        <is>
          <t>KTR-6015</t>
        </is>
      </c>
      <c r="B98" t="inlineStr">
        <is>
          <t>Terminal Dir Clio II-SY-Megane I-Kangoo-TW II IZQ</t>
        </is>
      </c>
      <c r="C98" t="inlineStr">
        <is>
          <t>Renault</t>
        </is>
      </c>
      <c r="D98" s="19" t="n">
        <v>2</v>
      </c>
      <c r="E98" s="14" t="n">
        <v>20810</v>
      </c>
      <c r="F98" s="14">
        <f>D98*E98</f>
        <v/>
      </c>
      <c r="G98" s="14" t="n">
        <v>15608</v>
      </c>
      <c r="H98" s="14">
        <f>IF(G98&gt;0,ROUND(G98*1.19,0),"")</f>
        <v/>
      </c>
      <c r="I98" s="14">
        <f>IF(H98&gt;0,ROUND(H98*0.08,0),"")</f>
        <v/>
      </c>
      <c r="J98" s="14">
        <f>IF(H98&gt;0,H98+I98,"")</f>
        <v/>
      </c>
      <c r="K98" s="14" t="n">
        <v>30900</v>
      </c>
      <c r="L98" s="14" t="n">
        <v>36500</v>
      </c>
      <c r="M98" s="14">
        <f>IF(AND(K98&gt;0,J98&gt;0),K98-J98,"")</f>
        <v/>
      </c>
      <c r="N98" s="14">
        <f>IF(AND(L98&gt;0,J98&gt;0),L98-J98,"")</f>
        <v/>
      </c>
      <c r="O98" s="14">
        <f>D98*K98</f>
        <v/>
      </c>
      <c r="P98" s="14">
        <f>D98*L98</f>
        <v/>
      </c>
      <c r="Q98" s="14">
        <f>IF(I98&gt;0,I98*D98,"")</f>
        <v/>
      </c>
      <c r="R98" s="14">
        <f>IF(J98&gt;0,J98*D98,"")</f>
        <v/>
      </c>
      <c r="S98" s="14">
        <f>IF(R98&gt;0,O98-R98,"")</f>
        <v/>
      </c>
      <c r="T98" s="14">
        <f>IF(R98&gt;0,P98-R98,"")</f>
        <v/>
      </c>
      <c r="U98" s="14">
        <f>ROUND((E98-G98)*D98,0)</f>
        <v/>
      </c>
    </row>
    <row r="99">
      <c r="A99" t="inlineStr">
        <is>
          <t>KTR-6016</t>
        </is>
      </c>
      <c r="B99" t="inlineStr">
        <is>
          <t>Terminal Dir Clio II-SY-Megane I-Kangoo-TW II DER</t>
        </is>
      </c>
      <c r="C99" t="inlineStr">
        <is>
          <t>Renault</t>
        </is>
      </c>
      <c r="D99" s="19" t="n">
        <v>2</v>
      </c>
      <c r="E99" s="14" t="n">
        <v>20810</v>
      </c>
      <c r="F99" s="14">
        <f>D99*E99</f>
        <v/>
      </c>
      <c r="G99" s="14" t="n">
        <v>15608</v>
      </c>
      <c r="H99" s="14">
        <f>IF(G99&gt;0,ROUND(G99*1.19,0),"")</f>
        <v/>
      </c>
      <c r="I99" s="14">
        <f>IF(H99&gt;0,ROUND(H99*0.08,0),"")</f>
        <v/>
      </c>
      <c r="J99" s="14">
        <f>IF(H99&gt;0,H99+I99,"")</f>
        <v/>
      </c>
      <c r="K99" s="14" t="n">
        <v>30900</v>
      </c>
      <c r="L99" s="14" t="n">
        <v>36500</v>
      </c>
      <c r="M99" s="14">
        <f>IF(AND(K99&gt;0,J99&gt;0),K99-J99,"")</f>
        <v/>
      </c>
      <c r="N99" s="14">
        <f>IF(AND(L99&gt;0,J99&gt;0),L99-J99,"")</f>
        <v/>
      </c>
      <c r="O99" s="14">
        <f>D99*K99</f>
        <v/>
      </c>
      <c r="P99" s="14">
        <f>D99*L99</f>
        <v/>
      </c>
      <c r="Q99" s="14">
        <f>IF(I99&gt;0,I99*D99,"")</f>
        <v/>
      </c>
      <c r="R99" s="14">
        <f>IF(J99&gt;0,J99*D99,"")</f>
        <v/>
      </c>
      <c r="S99" s="14">
        <f>IF(R99&gt;0,O99-R99,"")</f>
        <v/>
      </c>
      <c r="T99" s="14">
        <f>IF(R99&gt;0,P99-R99,"")</f>
        <v/>
      </c>
      <c r="U99" s="14">
        <f>ROUND((E99-G99)*D99,0)</f>
        <v/>
      </c>
    </row>
    <row r="100">
      <c r="A100" t="inlineStr">
        <is>
          <t>KSA-RE028</t>
        </is>
      </c>
      <c r="B100" t="inlineStr">
        <is>
          <t>Amortiguador Renault Kwid DEL (x2)</t>
        </is>
      </c>
      <c r="C100" t="inlineStr">
        <is>
          <t>Renault</t>
        </is>
      </c>
      <c r="D100" s="19" t="n">
        <v>2</v>
      </c>
      <c r="E100" s="14" t="n">
        <v>108060</v>
      </c>
      <c r="F100" s="14">
        <f>D100*E100</f>
        <v/>
      </c>
      <c r="G100" s="14" t="n">
        <v>81045</v>
      </c>
      <c r="H100" s="14">
        <f>IF(G100&gt;0,ROUND(G100*1.19,0),"")</f>
        <v/>
      </c>
      <c r="I100" s="14">
        <f>IF(H100&gt;0,ROUND(H100*0.08,0),"")</f>
        <v/>
      </c>
      <c r="J100" s="14">
        <f>IF(H100&gt;0,H100+I100,"")</f>
        <v/>
      </c>
      <c r="K100" s="14" t="n">
        <v>122500</v>
      </c>
      <c r="L100" s="14" t="n">
        <v>138900</v>
      </c>
      <c r="M100" s="14">
        <f>IF(AND(K100&gt;0,J100&gt;0),K100-J100,"")</f>
        <v/>
      </c>
      <c r="N100" s="14">
        <f>IF(AND(L100&gt;0,J100&gt;0),L100-J100,"")</f>
        <v/>
      </c>
      <c r="O100" s="14">
        <f>D100*K100</f>
        <v/>
      </c>
      <c r="P100" s="14">
        <f>D100*L100</f>
        <v/>
      </c>
      <c r="Q100" s="14">
        <f>IF(I100&gt;0,I100*D100,"")</f>
        <v/>
      </c>
      <c r="R100" s="14">
        <f>IF(J100&gt;0,J100*D100,"")</f>
        <v/>
      </c>
      <c r="S100" s="14">
        <f>IF(R100&gt;0,O100-R100,"")</f>
        <v/>
      </c>
      <c r="T100" s="14">
        <f>IF(R100&gt;0,P100-R100,"")</f>
        <v/>
      </c>
      <c r="U100" s="14">
        <f>ROUND((E100-G100)*D100,0)</f>
        <v/>
      </c>
    </row>
    <row r="101">
      <c r="A101" t="inlineStr">
        <is>
          <t>KSA-RE029</t>
        </is>
      </c>
      <c r="B101" t="inlineStr">
        <is>
          <t>Amortiguador Renault Kwid TRAS (x2)</t>
        </is>
      </c>
      <c r="C101" t="inlineStr">
        <is>
          <t>Renault</t>
        </is>
      </c>
      <c r="D101" s="19" t="n">
        <v>2</v>
      </c>
      <c r="E101" s="14" t="n">
        <v>64150</v>
      </c>
      <c r="F101" s="14">
        <f>D101*E101</f>
        <v/>
      </c>
      <c r="G101" s="14" t="n">
        <v>48113</v>
      </c>
      <c r="H101" s="14">
        <f>IF(G101&gt;0,ROUND(G101*1.19,0),"")</f>
        <v/>
      </c>
      <c r="I101" s="14">
        <f>IF(H101&gt;0,ROUND(H101*0.08,0),"")</f>
        <v/>
      </c>
      <c r="J101" s="14">
        <f>IF(H101&gt;0,H101+I101,"")</f>
        <v/>
      </c>
      <c r="K101" s="14" t="n">
        <v>82400</v>
      </c>
      <c r="L101" s="14" t="n">
        <v>95100</v>
      </c>
      <c r="M101" s="14">
        <f>IF(AND(K101&gt;0,J101&gt;0),K101-J101,"")</f>
        <v/>
      </c>
      <c r="N101" s="14">
        <f>IF(AND(L101&gt;0,J101&gt;0),L101-J101,"")</f>
        <v/>
      </c>
      <c r="O101" s="14">
        <f>D101*K101</f>
        <v/>
      </c>
      <c r="P101" s="14">
        <f>D101*L101</f>
        <v/>
      </c>
      <c r="Q101" s="14">
        <f>IF(I101&gt;0,I101*D101,"")</f>
        <v/>
      </c>
      <c r="R101" s="14">
        <f>IF(J101&gt;0,J101*D101,"")</f>
        <v/>
      </c>
      <c r="S101" s="14">
        <f>IF(R101&gt;0,O101-R101,"")</f>
        <v/>
      </c>
      <c r="T101" s="14">
        <f>IF(R101&gt;0,P101-R101,"")</f>
        <v/>
      </c>
      <c r="U101" s="14">
        <f>ROUND((E101-G101)*D101,0)</f>
        <v/>
      </c>
    </row>
    <row r="102">
      <c r="A102" t="inlineStr">
        <is>
          <t>KRE-6401</t>
        </is>
      </c>
      <c r="B102" t="inlineStr">
        <is>
          <t>Terminal Axial Swift 1.2 1.4 18-13</t>
        </is>
      </c>
      <c r="C102" t="inlineStr">
        <is>
          <t>Suzuki</t>
        </is>
      </c>
      <c r="D102" s="19" t="n">
        <v>2</v>
      </c>
      <c r="E102" s="14" t="n">
        <v>25650</v>
      </c>
      <c r="F102" s="14">
        <f>D102*E102</f>
        <v/>
      </c>
      <c r="G102" s="14" t="n">
        <v>19238</v>
      </c>
      <c r="H102" s="14">
        <f>IF(G102&gt;0,ROUND(G102*1.19,0),"")</f>
        <v/>
      </c>
      <c r="I102" s="14">
        <f>IF(H102&gt;0,ROUND(H102*0.08,0),"")</f>
        <v/>
      </c>
      <c r="J102" s="14">
        <f>IF(H102&gt;0,H102+I102,"")</f>
        <v/>
      </c>
      <c r="K102" s="14" t="n">
        <v>38000</v>
      </c>
      <c r="L102" s="14" t="n">
        <v>45000</v>
      </c>
      <c r="M102" s="14">
        <f>IF(AND(K102&gt;0,J102&gt;0),K102-J102,"")</f>
        <v/>
      </c>
      <c r="N102" s="14">
        <f>IF(AND(L102&gt;0,J102&gt;0),L102-J102,"")</f>
        <v/>
      </c>
      <c r="O102" s="14">
        <f>D102*K102</f>
        <v/>
      </c>
      <c r="P102" s="14">
        <f>D102*L102</f>
        <v/>
      </c>
      <c r="Q102" s="14">
        <f>IF(I102&gt;0,I102*D102,"")</f>
        <v/>
      </c>
      <c r="R102" s="14">
        <f>IF(J102&gt;0,J102*D102,"")</f>
        <v/>
      </c>
      <c r="S102" s="14">
        <f>IF(R102&gt;0,O102-R102,"")</f>
        <v/>
      </c>
      <c r="T102" s="14">
        <f>IF(R102&gt;0,P102-R102,"")</f>
        <v/>
      </c>
      <c r="U102" s="14">
        <f>ROUND((E102-G102)*D102,0)</f>
        <v/>
      </c>
    </row>
    <row r="103">
      <c r="A103" t="inlineStr">
        <is>
          <t>KSL-5151</t>
        </is>
      </c>
      <c r="B103" t="inlineStr">
        <is>
          <t>Bieleta Estab. Hilux Vigo 4x4 Fortuner-Prado Del IZQ</t>
        </is>
      </c>
      <c r="C103" t="inlineStr">
        <is>
          <t>Toyota</t>
        </is>
      </c>
      <c r="D103" s="19" t="n">
        <v>2</v>
      </c>
      <c r="E103" s="14" t="n">
        <v>24070</v>
      </c>
      <c r="F103" s="14">
        <f>D103*E103</f>
        <v/>
      </c>
      <c r="G103" s="14" t="n">
        <v>18053</v>
      </c>
      <c r="H103" s="14">
        <f>IF(G103&gt;0,ROUND(G103*1.19,0),"")</f>
        <v/>
      </c>
      <c r="I103" s="14">
        <f>IF(H103&gt;0,ROUND(H103*0.08,0),"")</f>
        <v/>
      </c>
      <c r="J103" s="14">
        <f>IF(H103&gt;0,H103+I103,"")</f>
        <v/>
      </c>
      <c r="K103" s="14" t="n">
        <v>35700</v>
      </c>
      <c r="L103" s="14" t="n">
        <v>42200</v>
      </c>
      <c r="M103" s="14">
        <f>IF(AND(K103&gt;0,J103&gt;0),K103-J103,"")</f>
        <v/>
      </c>
      <c r="N103" s="14">
        <f>IF(AND(L103&gt;0,J103&gt;0),L103-J103,"")</f>
        <v/>
      </c>
      <c r="O103" s="14">
        <f>D103*K103</f>
        <v/>
      </c>
      <c r="P103" s="14">
        <f>D103*L103</f>
        <v/>
      </c>
      <c r="Q103" s="14">
        <f>IF(I103&gt;0,I103*D103,"")</f>
        <v/>
      </c>
      <c r="R103" s="14">
        <f>IF(J103&gt;0,J103*D103,"")</f>
        <v/>
      </c>
      <c r="S103" s="14">
        <f>IF(R103&gt;0,O103-R103,"")</f>
        <v/>
      </c>
      <c r="T103" s="14">
        <f>IF(R103&gt;0,P103-R103,"")</f>
        <v/>
      </c>
      <c r="U103" s="14">
        <f>ROUND((E103-G103)*D103,0)</f>
        <v/>
      </c>
    </row>
    <row r="104">
      <c r="A104" t="inlineStr">
        <is>
          <t>KSL-5150</t>
        </is>
      </c>
      <c r="B104" t="inlineStr">
        <is>
          <t>Bieleta Estab. Hilux Vigo 4x4 Fortuner-Prado Del DER</t>
        </is>
      </c>
      <c r="C104" t="inlineStr">
        <is>
          <t>Toyota</t>
        </is>
      </c>
      <c r="D104" s="19" t="n">
        <v>2</v>
      </c>
      <c r="E104" s="14" t="n">
        <v>24070</v>
      </c>
      <c r="F104" s="14">
        <f>D104*E104</f>
        <v/>
      </c>
      <c r="G104" s="14" t="n">
        <v>18053</v>
      </c>
      <c r="H104" s="14">
        <f>IF(G104&gt;0,ROUND(G104*1.19,0),"")</f>
        <v/>
      </c>
      <c r="I104" s="14">
        <f>IF(H104&gt;0,ROUND(H104*0.08,0),"")</f>
        <v/>
      </c>
      <c r="J104" s="14">
        <f>IF(H104&gt;0,H104+I104,"")</f>
        <v/>
      </c>
      <c r="K104" s="14" t="n">
        <v>35700</v>
      </c>
      <c r="L104" s="14" t="n">
        <v>42200</v>
      </c>
      <c r="M104" s="14">
        <f>IF(AND(K104&gt;0,J104&gt;0),K104-J104,"")</f>
        <v/>
      </c>
      <c r="N104" s="14">
        <f>IF(AND(L104&gt;0,J104&gt;0),L104-J104,"")</f>
        <v/>
      </c>
      <c r="O104" s="14">
        <f>D104*K104</f>
        <v/>
      </c>
      <c r="P104" s="14">
        <f>D104*L104</f>
        <v/>
      </c>
      <c r="Q104" s="14">
        <f>IF(I104&gt;0,I104*D104,"")</f>
        <v/>
      </c>
      <c r="R104" s="14">
        <f>IF(J104&gt;0,J104*D104,"")</f>
        <v/>
      </c>
      <c r="S104" s="14">
        <f>IF(R104&gt;0,O104-R104,"")</f>
        <v/>
      </c>
      <c r="T104" s="14">
        <f>IF(R104&gt;0,P104-R104,"")</f>
        <v/>
      </c>
      <c r="U104" s="14">
        <f>ROUND((E104-G104)*D104,0)</f>
        <v/>
      </c>
    </row>
    <row r="105">
      <c r="A105" t="inlineStr">
        <is>
          <t>KRE-5206</t>
        </is>
      </c>
      <c r="B105" t="inlineStr">
        <is>
          <t>Terminal Axial Hilux Vigo 4x4 05 Fortuner-Revo</t>
        </is>
      </c>
      <c r="C105" t="inlineStr">
        <is>
          <t>Toyota</t>
        </is>
      </c>
      <c r="D105" s="19" t="n">
        <v>2</v>
      </c>
      <c r="E105" s="14" t="n">
        <v>27020</v>
      </c>
      <c r="F105" s="14">
        <f>D105*E105</f>
        <v/>
      </c>
      <c r="G105" s="14" t="n">
        <v>20265</v>
      </c>
      <c r="H105" s="14">
        <f>IF(G105&gt;0,ROUND(G105*1.19,0),"")</f>
        <v/>
      </c>
      <c r="I105" s="14">
        <f>IF(H105&gt;0,ROUND(H105*0.08,0),"")</f>
        <v/>
      </c>
      <c r="J105" s="14">
        <f>IF(H105&gt;0,H105+I105,"")</f>
        <v/>
      </c>
      <c r="K105" s="14" t="n">
        <v>40100</v>
      </c>
      <c r="L105" s="14" t="n">
        <v>47400</v>
      </c>
      <c r="M105" s="14">
        <f>IF(AND(K105&gt;0,J105&gt;0),K105-J105,"")</f>
        <v/>
      </c>
      <c r="N105" s="14">
        <f>IF(AND(L105&gt;0,J105&gt;0),L105-J105,"")</f>
        <v/>
      </c>
      <c r="O105" s="14">
        <f>D105*K105</f>
        <v/>
      </c>
      <c r="P105" s="14">
        <f>D105*L105</f>
        <v/>
      </c>
      <c r="Q105" s="14">
        <f>IF(I105&gt;0,I105*D105,"")</f>
        <v/>
      </c>
      <c r="R105" s="14">
        <f>IF(J105&gt;0,J105*D105,"")</f>
        <v/>
      </c>
      <c r="S105" s="14">
        <f>IF(R105&gt;0,O105-R105,"")</f>
        <v/>
      </c>
      <c r="T105" s="14">
        <f>IF(R105&gt;0,P105-R105,"")</f>
        <v/>
      </c>
      <c r="U105" s="14">
        <f>ROUND((E105-G105)*D105,0)</f>
        <v/>
      </c>
    </row>
    <row r="106">
      <c r="A106" t="inlineStr">
        <is>
          <t>KBJ-6108</t>
        </is>
      </c>
      <c r="B106" t="inlineStr">
        <is>
          <t>Rótula VW Golf 1.6 Jetta 1.8-2.0 DER</t>
        </is>
      </c>
      <c r="C106" t="inlineStr">
        <is>
          <t>Volkswagen</t>
        </is>
      </c>
      <c r="D106" s="19" t="n">
        <v>2</v>
      </c>
      <c r="E106" s="14" t="n">
        <v>28950</v>
      </c>
      <c r="F106" s="14">
        <f>D106*E106</f>
        <v/>
      </c>
      <c r="G106" s="14" t="n">
        <v>21713</v>
      </c>
      <c r="H106" s="14">
        <f>IF(G106&gt;0,ROUND(G106*1.19,0),"")</f>
        <v/>
      </c>
      <c r="I106" s="14">
        <f>IF(H106&gt;0,ROUND(H106*0.08,0),"")</f>
        <v/>
      </c>
      <c r="J106" s="14">
        <f>IF(H106&gt;0,H106+I106,"")</f>
        <v/>
      </c>
      <c r="K106" s="14" t="n">
        <v>42900</v>
      </c>
      <c r="L106" s="14" t="n">
        <v>50700</v>
      </c>
      <c r="M106" s="14">
        <f>IF(AND(K106&gt;0,J106&gt;0),K106-J106,"")</f>
        <v/>
      </c>
      <c r="N106" s="14">
        <f>IF(AND(L106&gt;0,J106&gt;0),L106-J106,"")</f>
        <v/>
      </c>
      <c r="O106" s="14">
        <f>D106*K106</f>
        <v/>
      </c>
      <c r="P106" s="14">
        <f>D106*L106</f>
        <v/>
      </c>
      <c r="Q106" s="14">
        <f>IF(I106&gt;0,I106*D106,"")</f>
        <v/>
      </c>
      <c r="R106" s="14">
        <f>IF(J106&gt;0,J106*D106,"")</f>
        <v/>
      </c>
      <c r="S106" s="14">
        <f>IF(R106&gt;0,O106-R106,"")</f>
        <v/>
      </c>
      <c r="T106" s="14">
        <f>IF(R106&gt;0,P106-R106,"")</f>
        <v/>
      </c>
      <c r="U106" s="14">
        <f>ROUND((E106-G106)*D106,0)</f>
        <v/>
      </c>
    </row>
    <row r="107">
      <c r="A107" t="inlineStr">
        <is>
          <t>KBJ-6109</t>
        </is>
      </c>
      <c r="B107" t="inlineStr">
        <is>
          <t>Rótula VW Golf 1.6 Jetta 1.8-2.0 IZQ</t>
        </is>
      </c>
      <c r="C107" t="inlineStr">
        <is>
          <t>Volkswagen</t>
        </is>
      </c>
      <c r="D107" s="19" t="n">
        <v>2</v>
      </c>
      <c r="E107" s="14" t="n">
        <v>27150</v>
      </c>
      <c r="F107" s="14">
        <f>D107*E107</f>
        <v/>
      </c>
      <c r="G107" s="14" t="n">
        <v>20363</v>
      </c>
      <c r="H107" s="14">
        <f>IF(G107&gt;0,ROUND(G107*1.19,0),"")</f>
        <v/>
      </c>
      <c r="I107" s="14">
        <f>IF(H107&gt;0,ROUND(H107*0.08,0),"")</f>
        <v/>
      </c>
      <c r="J107" s="14">
        <f>IF(H107&gt;0,H107+I107,"")</f>
        <v/>
      </c>
      <c r="K107" s="14" t="n">
        <v>40300</v>
      </c>
      <c r="L107" s="14" t="n">
        <v>47600</v>
      </c>
      <c r="M107" s="14">
        <f>IF(AND(K107&gt;0,J107&gt;0),K107-J107,"")</f>
        <v/>
      </c>
      <c r="N107" s="14">
        <f>IF(AND(L107&gt;0,J107&gt;0),L107-J107,"")</f>
        <v/>
      </c>
      <c r="O107" s="14">
        <f>D107*K107</f>
        <v/>
      </c>
      <c r="P107" s="14">
        <f>D107*L107</f>
        <v/>
      </c>
      <c r="Q107" s="14">
        <f>IF(I107&gt;0,I107*D107,"")</f>
        <v/>
      </c>
      <c r="R107" s="14">
        <f>IF(J107&gt;0,J107*D107,"")</f>
        <v/>
      </c>
      <c r="S107" s="14">
        <f>IF(R107&gt;0,O107-R107,"")</f>
        <v/>
      </c>
      <c r="T107" s="14">
        <f>IF(R107&gt;0,P107-R107,"")</f>
        <v/>
      </c>
      <c r="U107" s="14">
        <f>ROUND((E107-G107)*D107,0)</f>
        <v/>
      </c>
    </row>
    <row r="108">
      <c r="A108" t="inlineStr">
        <is>
          <t>KRE-6802</t>
        </is>
      </c>
      <c r="B108" t="inlineStr">
        <is>
          <t>Terminal Axial VW Golf IV DER</t>
        </is>
      </c>
      <c r="C108" t="inlineStr">
        <is>
          <t>Volkswagen</t>
        </is>
      </c>
      <c r="D108" s="19" t="n">
        <v>2</v>
      </c>
      <c r="E108" s="14" t="n">
        <v>24110</v>
      </c>
      <c r="F108" s="14">
        <f>D108*E108</f>
        <v/>
      </c>
      <c r="G108" s="14" t="n">
        <v>18083</v>
      </c>
      <c r="H108" s="14">
        <f>IF(G108&gt;0,ROUND(G108*1.19,0),"")</f>
        <v/>
      </c>
      <c r="I108" s="14">
        <f>IF(H108&gt;0,ROUND(H108*0.08,0),"")</f>
        <v/>
      </c>
      <c r="J108" s="14">
        <f>IF(H108&gt;0,H108+I108,"")</f>
        <v/>
      </c>
      <c r="K108" s="14" t="n">
        <v>35800</v>
      </c>
      <c r="L108" s="14" t="n">
        <v>42300</v>
      </c>
      <c r="M108" s="14">
        <f>IF(AND(K108&gt;0,J108&gt;0),K108-J108,"")</f>
        <v/>
      </c>
      <c r="N108" s="14">
        <f>IF(AND(L108&gt;0,J108&gt;0),L108-J108,"")</f>
        <v/>
      </c>
      <c r="O108" s="14">
        <f>D108*K108</f>
        <v/>
      </c>
      <c r="P108" s="14">
        <f>D108*L108</f>
        <v/>
      </c>
      <c r="Q108" s="14">
        <f>IF(I108&gt;0,I108*D108,"")</f>
        <v/>
      </c>
      <c r="R108" s="14">
        <f>IF(J108&gt;0,J108*D108,"")</f>
        <v/>
      </c>
      <c r="S108" s="14">
        <f>IF(R108&gt;0,O108-R108,"")</f>
        <v/>
      </c>
      <c r="T108" s="14">
        <f>IF(R108&gt;0,P108-R108,"")</f>
        <v/>
      </c>
      <c r="U108" s="14">
        <f>ROUND((E108-G108)*D108,0)</f>
        <v/>
      </c>
    </row>
    <row r="109">
      <c r="A109" t="inlineStr">
        <is>
          <t>KSL-6022</t>
        </is>
      </c>
      <c r="B109" t="inlineStr">
        <is>
          <t>Bieleta Estab. VW Golf-Jetta 03-00</t>
        </is>
      </c>
      <c r="C109" t="inlineStr">
        <is>
          <t>Volkswagen</t>
        </is>
      </c>
      <c r="D109" s="19" t="n">
        <v>2</v>
      </c>
      <c r="E109" s="14" t="n">
        <v>21520</v>
      </c>
      <c r="F109" s="14">
        <f>D109*E109</f>
        <v/>
      </c>
      <c r="G109" s="14" t="n">
        <v>16140</v>
      </c>
      <c r="H109" s="14">
        <f>IF(G109&gt;0,ROUND(G109*1.19,0),"")</f>
        <v/>
      </c>
      <c r="I109" s="14">
        <f>IF(H109&gt;0,ROUND(H109*0.08,0),"")</f>
        <v/>
      </c>
      <c r="J109" s="14">
        <f>IF(H109&gt;0,H109+I109,"")</f>
        <v/>
      </c>
      <c r="K109" s="14" t="n">
        <v>31900</v>
      </c>
      <c r="L109" s="14" t="n">
        <v>37700</v>
      </c>
      <c r="M109" s="14">
        <f>IF(AND(K109&gt;0,J109&gt;0),K109-J109,"")</f>
        <v/>
      </c>
      <c r="N109" s="14">
        <f>IF(AND(L109&gt;0,J109&gt;0),L109-J109,"")</f>
        <v/>
      </c>
      <c r="O109" s="14">
        <f>D109*K109</f>
        <v/>
      </c>
      <c r="P109" s="14">
        <f>D109*L109</f>
        <v/>
      </c>
      <c r="Q109" s="14">
        <f>IF(I109&gt;0,I109*D109,"")</f>
        <v/>
      </c>
      <c r="R109" s="14">
        <f>IF(J109&gt;0,J109*D109,"")</f>
        <v/>
      </c>
      <c r="S109" s="14">
        <f>IF(R109&gt;0,O109-R109,"")</f>
        <v/>
      </c>
      <c r="T109" s="14">
        <f>IF(R109&gt;0,P109-R109,"")</f>
        <v/>
      </c>
      <c r="U109" s="14">
        <f>ROUND((E109-G109)*D109,0)</f>
        <v/>
      </c>
    </row>
    <row r="110">
      <c r="A110" t="inlineStr">
        <is>
          <t>7700820028</t>
        </is>
      </c>
      <c r="B110" t="inlineStr">
        <is>
          <t>TIJERA DEL LH TWINGO</t>
        </is>
      </c>
      <c r="C110" t="inlineStr">
        <is>
          <t>Renault</t>
        </is>
      </c>
      <c r="D110" s="19" t="n">
        <v>1</v>
      </c>
      <c r="E110" s="14" t="n">
        <v>63026</v>
      </c>
      <c r="F110" s="14">
        <f>D110*E110</f>
        <v/>
      </c>
      <c r="G110" s="14" t="n">
        <v>56723</v>
      </c>
      <c r="H110" s="14">
        <f>IF(G110&gt;0,ROUND(G110*1.19,0),"")</f>
        <v/>
      </c>
      <c r="I110" s="14">
        <f>IF(H110&gt;0,ROUND(H110*0.08,0),"")</f>
        <v/>
      </c>
      <c r="J110" s="14">
        <f>IF(H110&gt;0,H110+I110,"")</f>
        <v/>
      </c>
      <c r="K110" s="14" t="n">
        <v>97200</v>
      </c>
      <c r="L110" s="14" t="n">
        <v>112200</v>
      </c>
      <c r="M110" s="14">
        <f>IF(AND(K110&gt;0,J110&gt;0),K110-J110,"")</f>
        <v/>
      </c>
      <c r="N110" s="14">
        <f>IF(AND(L110&gt;0,J110&gt;0),L110-J110,"")</f>
        <v/>
      </c>
      <c r="O110" s="14">
        <f>D110*K110</f>
        <v/>
      </c>
      <c r="P110" s="14">
        <f>D110*L110</f>
        <v/>
      </c>
      <c r="Q110" s="14">
        <f>IF(I110&gt;0,I110*D110,"")</f>
        <v/>
      </c>
      <c r="R110" s="14">
        <f>IF(J110&gt;0,J110*D110,"")</f>
        <v/>
      </c>
      <c r="S110" s="14">
        <f>IF(R110&gt;0,O110-R110,"")</f>
        <v/>
      </c>
      <c r="T110" s="14">
        <f>IF(R110&gt;0,P110-R110,"")</f>
        <v/>
      </c>
      <c r="U110" s="14">
        <f>ROUND((E110-G110)*D110,0)</f>
        <v/>
      </c>
    </row>
    <row r="111">
      <c r="A111" t="inlineStr">
        <is>
          <t>7700820029</t>
        </is>
      </c>
      <c r="B111" t="inlineStr">
        <is>
          <t>TIJERA DEL LH TWINGO</t>
        </is>
      </c>
      <c r="C111" t="inlineStr">
        <is>
          <t>Renault</t>
        </is>
      </c>
      <c r="D111" s="19" t="n">
        <v>1</v>
      </c>
      <c r="E111" s="14" t="n">
        <v>63026</v>
      </c>
      <c r="F111" s="14">
        <f>D111*E111</f>
        <v/>
      </c>
      <c r="G111" s="14" t="n">
        <v>56723</v>
      </c>
      <c r="H111" s="14">
        <f>IF(G111&gt;0,ROUND(G111*1.19,0),"")</f>
        <v/>
      </c>
      <c r="I111" s="14">
        <f>IF(H111&gt;0,ROUND(H111*0.08,0),"")</f>
        <v/>
      </c>
      <c r="J111" s="14">
        <f>IF(H111&gt;0,H111+I111,"")</f>
        <v/>
      </c>
      <c r="K111" s="14" t="n">
        <v>97200</v>
      </c>
      <c r="L111" s="14" t="n">
        <v>112200</v>
      </c>
      <c r="M111" s="14">
        <f>IF(AND(K111&gt;0,J111&gt;0),K111-J111,"")</f>
        <v/>
      </c>
      <c r="N111" s="14">
        <f>IF(AND(L111&gt;0,J111&gt;0),L111-J111,"")</f>
        <v/>
      </c>
      <c r="O111" s="14">
        <f>D111*K111</f>
        <v/>
      </c>
      <c r="P111" s="14">
        <f>D111*L111</f>
        <v/>
      </c>
      <c r="Q111" s="14">
        <f>IF(I111&gt;0,I111*D111,"")</f>
        <v/>
      </c>
      <c r="R111" s="14">
        <f>IF(J111&gt;0,J111*D111,"")</f>
        <v/>
      </c>
      <c r="S111" s="14">
        <f>IF(R111&gt;0,O111-R111,"")</f>
        <v/>
      </c>
      <c r="T111" s="14">
        <f>IF(R111&gt;0,P111-R111,"")</f>
        <v/>
      </c>
      <c r="U111" s="14">
        <f>ROUND((E111-G111)*D111,0)</f>
        <v/>
      </c>
    </row>
    <row r="112">
      <c r="A112" t="inlineStr">
        <is>
          <t>54501-1697R</t>
        </is>
      </c>
      <c r="B112" t="inlineStr">
        <is>
          <t>TIJERA DELANTERA RH TWINGO</t>
        </is>
      </c>
      <c r="C112" t="inlineStr">
        <is>
          <t>Renault</t>
        </is>
      </c>
      <c r="D112" s="19" t="n">
        <v>1</v>
      </c>
      <c r="E112" s="14" t="n">
        <v>71428</v>
      </c>
      <c r="F112" s="14">
        <f>D112*E112</f>
        <v/>
      </c>
      <c r="G112" s="14" t="n">
        <v>64286</v>
      </c>
      <c r="H112" s="14">
        <f>IF(G112&gt;0,ROUND(G112*1.19,0),"")</f>
        <v/>
      </c>
      <c r="I112" s="14">
        <f>IF(H112&gt;0,ROUND(H112*0.08,0),"")</f>
        <v/>
      </c>
      <c r="J112" s="14">
        <f>IF(H112&gt;0,H112+I112,"")</f>
        <v/>
      </c>
      <c r="K112" s="14" t="n">
        <v>110200</v>
      </c>
      <c r="L112" s="14" t="n">
        <v>127100</v>
      </c>
      <c r="M112" s="14">
        <f>IF(AND(K112&gt;0,J112&gt;0),K112-J112,"")</f>
        <v/>
      </c>
      <c r="N112" s="14">
        <f>IF(AND(L112&gt;0,J112&gt;0),L112-J112,"")</f>
        <v/>
      </c>
      <c r="O112" s="14">
        <f>D112*K112</f>
        <v/>
      </c>
      <c r="P112" s="14">
        <f>D112*L112</f>
        <v/>
      </c>
      <c r="Q112" s="14">
        <f>IF(I112&gt;0,I112*D112,"")</f>
        <v/>
      </c>
      <c r="R112" s="14">
        <f>IF(J112&gt;0,J112*D112,"")</f>
        <v/>
      </c>
      <c r="S112" s="14">
        <f>IF(R112&gt;0,O112-R112,"")</f>
        <v/>
      </c>
      <c r="T112" s="14">
        <f>IF(R112&gt;0,P112-R112,"")</f>
        <v/>
      </c>
      <c r="U112" s="14">
        <f>ROUND((E112-G112)*D112,0)</f>
        <v/>
      </c>
    </row>
    <row r="113">
      <c r="A113" t="inlineStr">
        <is>
          <t>545001138R</t>
        </is>
      </c>
      <c r="B113" t="inlineStr">
        <is>
          <t>TIJERA DELANTERA RH DUSTER/OROCH</t>
        </is>
      </c>
      <c r="C113" t="inlineStr">
        <is>
          <t>Renault</t>
        </is>
      </c>
      <c r="D113" s="19" t="n">
        <v>1</v>
      </c>
      <c r="E113" s="14" t="n">
        <v>71428</v>
      </c>
      <c r="F113" s="14">
        <f>D113*E113</f>
        <v/>
      </c>
      <c r="G113" s="14" t="n">
        <v>64286</v>
      </c>
      <c r="H113" s="14">
        <f>IF(G113&gt;0,ROUND(G113*1.19,0),"")</f>
        <v/>
      </c>
      <c r="I113" s="14">
        <f>IF(H113&gt;0,ROUND(H113*0.08,0),"")</f>
        <v/>
      </c>
      <c r="J113" s="14">
        <f>IF(H113&gt;0,H113+I113,"")</f>
        <v/>
      </c>
      <c r="K113" s="14" t="n">
        <v>110200</v>
      </c>
      <c r="L113" s="14" t="n">
        <v>127100</v>
      </c>
      <c r="M113" s="14">
        <f>IF(AND(K113&gt;0,J113&gt;0),K113-J113,"")</f>
        <v/>
      </c>
      <c r="N113" s="14">
        <f>IF(AND(L113&gt;0,J113&gt;0),L113-J113,"")</f>
        <v/>
      </c>
      <c r="O113" s="14">
        <f>D113*K113</f>
        <v/>
      </c>
      <c r="P113" s="14">
        <f>D113*L113</f>
        <v/>
      </c>
      <c r="Q113" s="14">
        <f>IF(I113&gt;0,I113*D113,"")</f>
        <v/>
      </c>
      <c r="R113" s="14">
        <f>IF(J113&gt;0,J113*D113,"")</f>
        <v/>
      </c>
      <c r="S113" s="14">
        <f>IF(R113&gt;0,O113-R113,"")</f>
        <v/>
      </c>
      <c r="T113" s="14">
        <f>IF(R113&gt;0,P113-R113,"")</f>
        <v/>
      </c>
      <c r="U113" s="14">
        <f>ROUND((E113-G113)*D113,0)</f>
        <v/>
      </c>
    </row>
    <row r="114">
      <c r="A114" t="inlineStr">
        <is>
          <t>54500A269R</t>
        </is>
      </c>
      <c r="B114" t="inlineStr">
        <is>
          <t>TIJERA DEL LH DUSTER/OROCH</t>
        </is>
      </c>
      <c r="C114" t="inlineStr">
        <is>
          <t>Renault</t>
        </is>
      </c>
      <c r="D114" s="19" t="n">
        <v>1</v>
      </c>
      <c r="E114" s="14" t="n">
        <v>58824</v>
      </c>
      <c r="F114" s="14">
        <f>D114*E114</f>
        <v/>
      </c>
      <c r="G114" s="14" t="n">
        <v>52942</v>
      </c>
      <c r="H114" s="14">
        <f>IF(G114&gt;0,ROUND(G114*1.19,0),"")</f>
        <v/>
      </c>
      <c r="I114" s="14">
        <f>IF(H114&gt;0,ROUND(H114*0.08,0),"")</f>
        <v/>
      </c>
      <c r="J114" s="14">
        <f>IF(H114&gt;0,H114+I114,"")</f>
        <v/>
      </c>
      <c r="K114" s="14" t="n">
        <v>90700</v>
      </c>
      <c r="L114" s="14" t="n">
        <v>104700</v>
      </c>
      <c r="M114" s="14">
        <f>IF(AND(K114&gt;0,J114&gt;0),K114-J114,"")</f>
        <v/>
      </c>
      <c r="N114" s="14">
        <f>IF(AND(L114&gt;0,J114&gt;0),L114-J114,"")</f>
        <v/>
      </c>
      <c r="O114" s="14">
        <f>D114*K114</f>
        <v/>
      </c>
      <c r="P114" s="14">
        <f>D114*L114</f>
        <v/>
      </c>
      <c r="Q114" s="14">
        <f>IF(I114&gt;0,I114*D114,"")</f>
        <v/>
      </c>
      <c r="R114" s="14">
        <f>IF(J114&gt;0,J114*D114,"")</f>
        <v/>
      </c>
      <c r="S114" s="14">
        <f>IF(R114&gt;0,O114-R114,"")</f>
        <v/>
      </c>
      <c r="T114" s="14">
        <f>IF(R114&gt;0,P114-R114,"")</f>
        <v/>
      </c>
      <c r="U114" s="14">
        <f>ROUND((E114-G114)*D114,0)</f>
        <v/>
      </c>
    </row>
    <row r="115">
      <c r="A115" t="inlineStr">
        <is>
          <t>54500A268R</t>
        </is>
      </c>
      <c r="B115" t="inlineStr">
        <is>
          <t>TIJERA DEL RH LOGAN/SANDERO/2016</t>
        </is>
      </c>
      <c r="C115" t="inlineStr">
        <is>
          <t>Renault</t>
        </is>
      </c>
      <c r="D115" s="19" t="n">
        <v>1</v>
      </c>
      <c r="E115" s="14" t="n">
        <v>58824</v>
      </c>
      <c r="F115" s="14">
        <f>D115*E115</f>
        <v/>
      </c>
      <c r="G115" s="14" t="n">
        <v>52942</v>
      </c>
      <c r="H115" s="14">
        <f>IF(G115&gt;0,ROUND(G115*1.19,0),"")</f>
        <v/>
      </c>
      <c r="I115" s="14">
        <f>IF(H115&gt;0,ROUND(H115*0.08,0),"")</f>
        <v/>
      </c>
      <c r="J115" s="14">
        <f>IF(H115&gt;0,H115+I115,"")</f>
        <v/>
      </c>
      <c r="K115" s="14" t="n">
        <v>90700</v>
      </c>
      <c r="L115" s="14" t="n">
        <v>104700</v>
      </c>
      <c r="M115" s="14">
        <f>IF(AND(K115&gt;0,J115&gt;0),K115-J115,"")</f>
        <v/>
      </c>
      <c r="N115" s="14">
        <f>IF(AND(L115&gt;0,J115&gt;0),L115-J115,"")</f>
        <v/>
      </c>
      <c r="O115" s="14">
        <f>D115*K115</f>
        <v/>
      </c>
      <c r="P115" s="14">
        <f>D115*L115</f>
        <v/>
      </c>
      <c r="Q115" s="14">
        <f>IF(I115&gt;0,I115*D115,"")</f>
        <v/>
      </c>
      <c r="R115" s="14">
        <f>IF(J115&gt;0,J115*D115,"")</f>
        <v/>
      </c>
      <c r="S115" s="14">
        <f>IF(R115&gt;0,O115-R115,"")</f>
        <v/>
      </c>
      <c r="T115" s="14">
        <f>IF(R115&gt;0,P115-R115,"")</f>
        <v/>
      </c>
      <c r="U115" s="14">
        <f>ROUND((E115-G115)*D115,0)</f>
        <v/>
      </c>
    </row>
    <row r="116">
      <c r="A116" t="inlineStr">
        <is>
          <t>545010294R</t>
        </is>
      </c>
      <c r="B116" t="inlineStr">
        <is>
          <t>TIJERA DEL LH LOGAN II/SANDERO II</t>
        </is>
      </c>
      <c r="C116" t="inlineStr">
        <is>
          <t>Renault</t>
        </is>
      </c>
      <c r="D116" s="19" t="n">
        <v>1</v>
      </c>
      <c r="E116" s="14" t="n">
        <v>58824</v>
      </c>
      <c r="F116" s="14">
        <f>D116*E116</f>
        <v/>
      </c>
      <c r="G116" s="14" t="n">
        <v>52942</v>
      </c>
      <c r="H116" s="14">
        <f>IF(G116&gt;0,ROUND(G116*1.19,0),"")</f>
        <v/>
      </c>
      <c r="I116" s="14">
        <f>IF(H116&gt;0,ROUND(H116*0.08,0),"")</f>
        <v/>
      </c>
      <c r="J116" s="14">
        <f>IF(H116&gt;0,H116+I116,"")</f>
        <v/>
      </c>
      <c r="K116" s="14" t="n">
        <v>90700</v>
      </c>
      <c r="L116" s="14" t="n">
        <v>104700</v>
      </c>
      <c r="M116" s="14">
        <f>IF(AND(K116&gt;0,J116&gt;0),K116-J116,"")</f>
        <v/>
      </c>
      <c r="N116" s="14">
        <f>IF(AND(L116&gt;0,J116&gt;0),L116-J116,"")</f>
        <v/>
      </c>
      <c r="O116" s="14">
        <f>D116*K116</f>
        <v/>
      </c>
      <c r="P116" s="14">
        <f>D116*L116</f>
        <v/>
      </c>
      <c r="Q116" s="14">
        <f>IF(I116&gt;0,I116*D116,"")</f>
        <v/>
      </c>
      <c r="R116" s="14">
        <f>IF(J116&gt;0,J116*D116,"")</f>
        <v/>
      </c>
      <c r="S116" s="14">
        <f>IF(R116&gt;0,O116-R116,"")</f>
        <v/>
      </c>
      <c r="T116" s="14">
        <f>IF(R116&gt;0,P116-R116,"")</f>
        <v/>
      </c>
      <c r="U116" s="14">
        <f>ROUND((E116-G116)*D116,0)</f>
        <v/>
      </c>
    </row>
    <row r="117">
      <c r="A117" t="inlineStr">
        <is>
          <t>545004529R</t>
        </is>
      </c>
      <c r="B117" t="inlineStr">
        <is>
          <t>TIJERA DEL LH LOGAN II/SANDERO II</t>
        </is>
      </c>
      <c r="C117" t="inlineStr">
        <is>
          <t>Renault</t>
        </is>
      </c>
      <c r="D117" s="19" t="n">
        <v>1</v>
      </c>
      <c r="E117" s="14" t="n">
        <v>58824</v>
      </c>
      <c r="F117" s="14">
        <f>D117*E117</f>
        <v/>
      </c>
      <c r="G117" s="14" t="n">
        <v>52942</v>
      </c>
      <c r="H117" s="14">
        <f>IF(G117&gt;0,ROUND(G117*1.19,0),"")</f>
        <v/>
      </c>
      <c r="I117" s="14">
        <f>IF(H117&gt;0,ROUND(H117*0.08,0),"")</f>
        <v/>
      </c>
      <c r="J117" s="14">
        <f>IF(H117&gt;0,H117+I117,"")</f>
        <v/>
      </c>
      <c r="K117" s="14" t="n">
        <v>90700</v>
      </c>
      <c r="L117" s="14" t="n">
        <v>104700</v>
      </c>
      <c r="M117" s="14">
        <f>IF(AND(K117&gt;0,J117&gt;0),K117-J117,"")</f>
        <v/>
      </c>
      <c r="N117" s="14">
        <f>IF(AND(L117&gt;0,J117&gt;0),L117-J117,"")</f>
        <v/>
      </c>
      <c r="O117" s="14">
        <f>D117*K117</f>
        <v/>
      </c>
      <c r="P117" s="14">
        <f>D117*L117</f>
        <v/>
      </c>
      <c r="Q117" s="14">
        <f>IF(I117&gt;0,I117*D117,"")</f>
        <v/>
      </c>
      <c r="R117" s="14">
        <f>IF(J117&gt;0,J117*D117,"")</f>
        <v/>
      </c>
      <c r="S117" s="14">
        <f>IF(R117&gt;0,O117-R117,"")</f>
        <v/>
      </c>
      <c r="T117" s="14">
        <f>IF(R117&gt;0,P117-R117,"")</f>
        <v/>
      </c>
      <c r="U117" s="14">
        <f>ROUND((E117-G117)*D117,0)</f>
        <v/>
      </c>
    </row>
    <row r="118">
      <c r="A118" t="inlineStr">
        <is>
          <t>54501-0000M</t>
        </is>
      </c>
      <c r="B118" t="inlineStr">
        <is>
          <t>TIJERA DEL LH CLIO II/SYMBOL</t>
        </is>
      </c>
      <c r="C118" t="inlineStr">
        <is>
          <t>Renault</t>
        </is>
      </c>
      <c r="D118" s="19" t="n">
        <v>1</v>
      </c>
      <c r="E118" s="14" t="n">
        <v>58824</v>
      </c>
      <c r="F118" s="14">
        <f>D118*E118</f>
        <v/>
      </c>
      <c r="G118" s="14" t="n">
        <v>52942</v>
      </c>
      <c r="H118" s="14">
        <f>IF(G118&gt;0,ROUND(G118*1.19,0),"")</f>
        <v/>
      </c>
      <c r="I118" s="14">
        <f>IF(H118&gt;0,ROUND(H118*0.08,0),"")</f>
        <v/>
      </c>
      <c r="J118" s="14">
        <f>IF(H118&gt;0,H118+I118,"")</f>
        <v/>
      </c>
      <c r="K118" s="14" t="n">
        <v>90700</v>
      </c>
      <c r="L118" s="14" t="n">
        <v>104700</v>
      </c>
      <c r="M118" s="14">
        <f>IF(AND(K118&gt;0,J118&gt;0),K118-J118,"")</f>
        <v/>
      </c>
      <c r="N118" s="14">
        <f>IF(AND(L118&gt;0,J118&gt;0),L118-J118,"")</f>
        <v/>
      </c>
      <c r="O118" s="14">
        <f>D118*K118</f>
        <v/>
      </c>
      <c r="P118" s="14">
        <f>D118*L118</f>
        <v/>
      </c>
      <c r="Q118" s="14">
        <f>IF(I118&gt;0,I118*D118,"")</f>
        <v/>
      </c>
      <c r="R118" s="14">
        <f>IF(J118&gt;0,J118*D118,"")</f>
        <v/>
      </c>
      <c r="S118" s="14">
        <f>IF(R118&gt;0,O118-R118,"")</f>
        <v/>
      </c>
      <c r="T118" s="14">
        <f>IF(R118&gt;0,P118-R118,"")</f>
        <v/>
      </c>
      <c r="U118" s="14">
        <f>ROUND((E118-G118)*D118,0)</f>
        <v/>
      </c>
    </row>
    <row r="119">
      <c r="A119" t="inlineStr">
        <is>
          <t>5450-0000M</t>
        </is>
      </c>
      <c r="B119" t="inlineStr">
        <is>
          <t>TIJERA DEL RH CLIO II/SYMBOL</t>
        </is>
      </c>
      <c r="C119" t="inlineStr">
        <is>
          <t>Renault</t>
        </is>
      </c>
      <c r="D119" s="19" t="n">
        <v>1</v>
      </c>
      <c r="E119" s="14" t="n">
        <v>58824</v>
      </c>
      <c r="F119" s="14">
        <f>D119*E119</f>
        <v/>
      </c>
      <c r="G119" s="14" t="n">
        <v>52942</v>
      </c>
      <c r="H119" s="14">
        <f>IF(G119&gt;0,ROUND(G119*1.19,0),"")</f>
        <v/>
      </c>
      <c r="I119" s="14">
        <f>IF(H119&gt;0,ROUND(H119*0.08,0),"")</f>
        <v/>
      </c>
      <c r="J119" s="14">
        <f>IF(H119&gt;0,H119+I119,"")</f>
        <v/>
      </c>
      <c r="K119" s="14" t="n">
        <v>90700</v>
      </c>
      <c r="L119" s="14" t="n">
        <v>104700</v>
      </c>
      <c r="M119" s="14">
        <f>IF(AND(K119&gt;0,J119&gt;0),K119-J119,"")</f>
        <v/>
      </c>
      <c r="N119" s="14">
        <f>IF(AND(L119&gt;0,J119&gt;0),L119-J119,"")</f>
        <v/>
      </c>
      <c r="O119" s="14">
        <f>D119*K119</f>
        <v/>
      </c>
      <c r="P119" s="14">
        <f>D119*L119</f>
        <v/>
      </c>
      <c r="Q119" s="14">
        <f>IF(I119&gt;0,I119*D119,"")</f>
        <v/>
      </c>
      <c r="R119" s="14">
        <f>IF(J119&gt;0,J119*D119,"")</f>
        <v/>
      </c>
      <c r="S119" s="14">
        <f>IF(R119&gt;0,O119-R119,"")</f>
        <v/>
      </c>
      <c r="T119" s="14">
        <f>IF(R119&gt;0,P119-R119,"")</f>
        <v/>
      </c>
      <c r="U119" s="14">
        <f>ROUND((E119-G119)*D119,0)</f>
        <v/>
      </c>
    </row>
    <row r="120">
      <c r="A120" t="inlineStr">
        <is>
          <t>96535081</t>
        </is>
      </c>
      <c r="B120" t="inlineStr">
        <is>
          <t>TIJERA LH AVEO/SAIL</t>
        </is>
      </c>
      <c r="C120" t="inlineStr">
        <is>
          <t>Chevrolet</t>
        </is>
      </c>
      <c r="D120" s="19" t="n">
        <v>1</v>
      </c>
      <c r="E120" s="14" t="n">
        <v>42016</v>
      </c>
      <c r="F120" s="14">
        <f>D120*E120</f>
        <v/>
      </c>
      <c r="G120" s="14" t="n">
        <v>37815</v>
      </c>
      <c r="H120" s="14">
        <f>IF(G120&gt;0,ROUND(G120*1.19,0),"")</f>
        <v/>
      </c>
      <c r="I120" s="14">
        <f>IF(H120&gt;0,ROUND(H120*0.08,0),"")</f>
        <v/>
      </c>
      <c r="J120" s="14">
        <f>IF(H120&gt;0,H120+I120,"")</f>
        <v/>
      </c>
      <c r="K120" s="14" t="n">
        <v>64800</v>
      </c>
      <c r="L120" s="14" t="n">
        <v>74800</v>
      </c>
      <c r="M120" s="14">
        <f>IF(AND(K120&gt;0,J120&gt;0),K120-J120,"")</f>
        <v/>
      </c>
      <c r="N120" s="14">
        <f>IF(AND(L120&gt;0,J120&gt;0),L120-J120,"")</f>
        <v/>
      </c>
      <c r="O120" s="14">
        <f>D120*K120</f>
        <v/>
      </c>
      <c r="P120" s="14">
        <f>D120*L120</f>
        <v/>
      </c>
      <c r="Q120" s="14">
        <f>IF(I120&gt;0,I120*D120,"")</f>
        <v/>
      </c>
      <c r="R120" s="14">
        <f>IF(J120&gt;0,J120*D120,"")</f>
        <v/>
      </c>
      <c r="S120" s="14">
        <f>IF(R120&gt;0,O120-R120,"")</f>
        <v/>
      </c>
      <c r="T120" s="14">
        <f>IF(R120&gt;0,P120-R120,"")</f>
        <v/>
      </c>
      <c r="U120" s="14">
        <f>ROUND((E120-G120)*D120,0)</f>
        <v/>
      </c>
    </row>
    <row r="121">
      <c r="A121" t="inlineStr">
        <is>
          <t>96535082</t>
        </is>
      </c>
      <c r="B121" t="inlineStr">
        <is>
          <t>TIJERA RH AVEO/SAIL</t>
        </is>
      </c>
      <c r="C121" t="inlineStr">
        <is>
          <t>Chevrolet</t>
        </is>
      </c>
      <c r="D121" s="19" t="n">
        <v>1</v>
      </c>
      <c r="E121" s="14" t="n">
        <v>42016</v>
      </c>
      <c r="F121" s="14">
        <f>D121*E121</f>
        <v/>
      </c>
      <c r="G121" s="14" t="n">
        <v>37815</v>
      </c>
      <c r="H121" s="14">
        <f>IF(G121&gt;0,ROUND(G121*1.19,0),"")</f>
        <v/>
      </c>
      <c r="I121" s="14">
        <f>IF(H121&gt;0,ROUND(H121*0.08,0),"")</f>
        <v/>
      </c>
      <c r="J121" s="14">
        <f>IF(H121&gt;0,H121+I121,"")</f>
        <v/>
      </c>
      <c r="K121" s="14" t="n">
        <v>64800</v>
      </c>
      <c r="L121" s="14" t="n">
        <v>74800</v>
      </c>
      <c r="M121" s="14">
        <f>IF(AND(K121&gt;0,J121&gt;0),K121-J121,"")</f>
        <v/>
      </c>
      <c r="N121" s="14">
        <f>IF(AND(L121&gt;0,J121&gt;0),L121-J121,"")</f>
        <v/>
      </c>
      <c r="O121" s="14">
        <f>D121*K121</f>
        <v/>
      </c>
      <c r="P121" s="14">
        <f>D121*L121</f>
        <v/>
      </c>
      <c r="Q121" s="14">
        <f>IF(I121&gt;0,I121*D121,"")</f>
        <v/>
      </c>
      <c r="R121" s="14">
        <f>IF(J121&gt;0,J121*D121,"")</f>
        <v/>
      </c>
      <c r="S121" s="14">
        <f>IF(R121&gt;0,O121-R121,"")</f>
        <v/>
      </c>
      <c r="T121" s="14">
        <f>IF(R121&gt;0,P121-R121,"")</f>
        <v/>
      </c>
      <c r="U121" s="14">
        <f>ROUND((E121-G121)*D121,0)</f>
        <v/>
      </c>
    </row>
    <row r="122">
      <c r="A122" t="inlineStr">
        <is>
          <t>2595128</t>
        </is>
      </c>
      <c r="B122" t="inlineStr">
        <is>
          <t>TIJERA DEL RH CAPTIVA</t>
        </is>
      </c>
      <c r="C122" t="inlineStr">
        <is>
          <t>Chevrolet</t>
        </is>
      </c>
      <c r="D122" s="19" t="n">
        <v>1</v>
      </c>
      <c r="E122" s="14" t="n">
        <v>117647</v>
      </c>
      <c r="F122" s="14">
        <f>D122*E122</f>
        <v/>
      </c>
      <c r="G122" s="14" t="n">
        <v>105882</v>
      </c>
      <c r="H122" s="14">
        <f>IF(G122&gt;0,ROUND(G122*1.19,0),"")</f>
        <v/>
      </c>
      <c r="I122" s="14">
        <f>IF(H122&gt;0,ROUND(H122*0.08,0),"")</f>
        <v/>
      </c>
      <c r="J122" s="14">
        <f>IF(H122&gt;0,H122+I122,"")</f>
        <v/>
      </c>
      <c r="K122" s="14" t="n">
        <v>160100</v>
      </c>
      <c r="L122" s="14" t="n">
        <v>181400</v>
      </c>
      <c r="M122" s="14">
        <f>IF(AND(K122&gt;0,J122&gt;0),K122-J122,"")</f>
        <v/>
      </c>
      <c r="N122" s="14">
        <f>IF(AND(L122&gt;0,J122&gt;0),L122-J122,"")</f>
        <v/>
      </c>
      <c r="O122" s="14">
        <f>D122*K122</f>
        <v/>
      </c>
      <c r="P122" s="14">
        <f>D122*L122</f>
        <v/>
      </c>
      <c r="Q122" s="14">
        <f>IF(I122&gt;0,I122*D122,"")</f>
        <v/>
      </c>
      <c r="R122" s="14">
        <f>IF(J122&gt;0,J122*D122,"")</f>
        <v/>
      </c>
      <c r="S122" s="14">
        <f>IF(R122&gt;0,O122-R122,"")</f>
        <v/>
      </c>
      <c r="T122" s="14">
        <f>IF(R122&gt;0,P122-R122,"")</f>
        <v/>
      </c>
      <c r="U122" s="14">
        <f>ROUND((E122-G122)*D122,0)</f>
        <v/>
      </c>
    </row>
    <row r="123">
      <c r="A123" t="inlineStr">
        <is>
          <t>96819162</t>
        </is>
      </c>
      <c r="B123" t="inlineStr">
        <is>
          <t>TIJERA DEL LH CAPTIVA</t>
        </is>
      </c>
      <c r="C123" t="inlineStr">
        <is>
          <t>Chevrolet</t>
        </is>
      </c>
      <c r="D123" s="19" t="n">
        <v>1</v>
      </c>
      <c r="E123" s="14" t="n">
        <v>117647</v>
      </c>
      <c r="F123" s="14">
        <f>D123*E123</f>
        <v/>
      </c>
      <c r="G123" s="14" t="n">
        <v>105882</v>
      </c>
      <c r="H123" s="14">
        <f>IF(G123&gt;0,ROUND(G123*1.19,0),"")</f>
        <v/>
      </c>
      <c r="I123" s="14">
        <f>IF(H123&gt;0,ROUND(H123*0.08,0),"")</f>
        <v/>
      </c>
      <c r="J123" s="14">
        <f>IF(H123&gt;0,H123+I123,"")</f>
        <v/>
      </c>
      <c r="K123" s="14" t="n">
        <v>160100</v>
      </c>
      <c r="L123" s="14" t="n">
        <v>181400</v>
      </c>
      <c r="M123" s="14">
        <f>IF(AND(K123&gt;0,J123&gt;0),K123-J123,"")</f>
        <v/>
      </c>
      <c r="N123" s="14">
        <f>IF(AND(L123&gt;0,J123&gt;0),L123-J123,"")</f>
        <v/>
      </c>
      <c r="O123" s="14">
        <f>D123*K123</f>
        <v/>
      </c>
      <c r="P123" s="14">
        <f>D123*L123</f>
        <v/>
      </c>
      <c r="Q123" s="14">
        <f>IF(I123&gt;0,I123*D123,"")</f>
        <v/>
      </c>
      <c r="R123" s="14">
        <f>IF(J123&gt;0,J123*D123,"")</f>
        <v/>
      </c>
      <c r="S123" s="14">
        <f>IF(R123&gt;0,O123-R123,"")</f>
        <v/>
      </c>
      <c r="T123" s="14">
        <f>IF(R123&gt;0,P123-R123,"")</f>
        <v/>
      </c>
      <c r="U123" s="14">
        <f>ROUND((E123-G123)*D123,0)</f>
        <v/>
      </c>
    </row>
    <row r="124">
      <c r="A124" t="inlineStr">
        <is>
          <t>B32H-34-350</t>
        </is>
      </c>
      <c r="B124" t="inlineStr">
        <is>
          <t>TIJERA DEL LH MAZDA 3</t>
        </is>
      </c>
      <c r="C124" t="inlineStr">
        <is>
          <t>Mazda</t>
        </is>
      </c>
      <c r="D124" s="19" t="n">
        <v>1</v>
      </c>
      <c r="E124" s="14" t="n">
        <v>100840</v>
      </c>
      <c r="F124" s="14">
        <f>D124*E124</f>
        <v/>
      </c>
      <c r="G124" s="14" t="n">
        <v>90756</v>
      </c>
      <c r="H124" s="14">
        <f>IF(G124&gt;0,ROUND(G124*1.19,0),"")</f>
        <v/>
      </c>
      <c r="I124" s="14">
        <f>IF(H124&gt;0,ROUND(H124*0.08,0),"")</f>
        <v/>
      </c>
      <c r="J124" s="14">
        <f>IF(H124&gt;0,H124+I124,"")</f>
        <v/>
      </c>
      <c r="K124" s="14" t="n">
        <v>137200</v>
      </c>
      <c r="L124" s="14" t="n">
        <v>155500</v>
      </c>
      <c r="M124" s="14">
        <f>IF(AND(K124&gt;0,J124&gt;0),K124-J124,"")</f>
        <v/>
      </c>
      <c r="N124" s="14">
        <f>IF(AND(L124&gt;0,J124&gt;0),L124-J124,"")</f>
        <v/>
      </c>
      <c r="O124" s="14">
        <f>D124*K124</f>
        <v/>
      </c>
      <c r="P124" s="14">
        <f>D124*L124</f>
        <v/>
      </c>
      <c r="Q124" s="14">
        <f>IF(I124&gt;0,I124*D124,"")</f>
        <v/>
      </c>
      <c r="R124" s="14">
        <f>IF(J124&gt;0,J124*D124,"")</f>
        <v/>
      </c>
      <c r="S124" s="14">
        <f>IF(R124&gt;0,O124-R124,"")</f>
        <v/>
      </c>
      <c r="T124" s="14">
        <f>IF(R124&gt;0,P124-R124,"")</f>
        <v/>
      </c>
      <c r="U124" s="14">
        <f>ROUND((E124-G124)*D124,0)</f>
        <v/>
      </c>
    </row>
    <row r="125">
      <c r="A125" t="inlineStr">
        <is>
          <t>B32H-34-300</t>
        </is>
      </c>
      <c r="B125" t="inlineStr">
        <is>
          <t>TIJERA DEL RH MAZDA 3</t>
        </is>
      </c>
      <c r="C125" t="inlineStr">
        <is>
          <t>Mazda</t>
        </is>
      </c>
      <c r="D125" s="19" t="n">
        <v>1</v>
      </c>
      <c r="E125" s="14" t="n">
        <v>100840</v>
      </c>
      <c r="F125" s="14">
        <f>D125*E125</f>
        <v/>
      </c>
      <c r="G125" s="14" t="n">
        <v>90756</v>
      </c>
      <c r="H125" s="14">
        <f>IF(G125&gt;0,ROUND(G125*1.19,0),"")</f>
        <v/>
      </c>
      <c r="I125" s="14">
        <f>IF(H125&gt;0,ROUND(H125*0.08,0),"")</f>
        <v/>
      </c>
      <c r="J125" s="14">
        <f>IF(H125&gt;0,H125+I125,"")</f>
        <v/>
      </c>
      <c r="K125" s="14" t="n">
        <v>137200</v>
      </c>
      <c r="L125" s="14" t="n">
        <v>155500</v>
      </c>
      <c r="M125" s="14">
        <f>IF(AND(K125&gt;0,J125&gt;0),K125-J125,"")</f>
        <v/>
      </c>
      <c r="N125" s="14">
        <f>IF(AND(L125&gt;0,J125&gt;0),L125-J125,"")</f>
        <v/>
      </c>
      <c r="O125" s="14">
        <f>D125*K125</f>
        <v/>
      </c>
      <c r="P125" s="14">
        <f>D125*L125</f>
        <v/>
      </c>
      <c r="Q125" s="14">
        <f>IF(I125&gt;0,I125*D125,"")</f>
        <v/>
      </c>
      <c r="R125" s="14">
        <f>IF(J125&gt;0,J125*D125,"")</f>
        <v/>
      </c>
      <c r="S125" s="14">
        <f>IF(R125&gt;0,O125-R125,"")</f>
        <v/>
      </c>
      <c r="T125" s="14">
        <f>IF(R125&gt;0,P125-R125,"")</f>
        <v/>
      </c>
      <c r="U125" s="14">
        <f>ROUND((E125-G125)*D125,0)</f>
        <v/>
      </c>
    </row>
    <row r="126">
      <c r="A126" t="inlineStr">
        <is>
          <t>← NUEVO</t>
        </is>
      </c>
      <c r="B126" t="n">
        <v/>
      </c>
      <c r="C126" t="n">
        <v/>
      </c>
      <c r="D126" s="19" t="n">
        <v>0</v>
      </c>
      <c r="E126" s="14" t="inlineStr"/>
      <c r="F126" s="14">
        <f>D126*E126</f>
        <v/>
      </c>
      <c r="G126" s="14" t="n"/>
      <c r="H126" s="14">
        <f>IF(G126&gt;0,ROUND(G126*1.19,0),"")</f>
        <v/>
      </c>
      <c r="I126" s="14">
        <f>IF(H126&gt;0,ROUND(H126*0.08,0),"")</f>
        <v/>
      </c>
      <c r="J126" s="14">
        <f>IF(H126&gt;0,H126+I126,"")</f>
        <v/>
      </c>
      <c r="K126" s="14" t="n"/>
      <c r="L126" s="14" t="n"/>
      <c r="M126" s="14">
        <f>IF(AND(K126&gt;0,J126&gt;0),K126-J126,"")</f>
        <v/>
      </c>
      <c r="N126" s="14">
        <f>IF(AND(L126&gt;0,J126&gt;0),L126-J126,"")</f>
        <v/>
      </c>
      <c r="O126" s="14">
        <f>D126*K126</f>
        <v/>
      </c>
      <c r="P126" s="14">
        <f>D126*L126</f>
        <v/>
      </c>
      <c r="Q126" s="14">
        <f>IF(I126&gt;0,I126*D126,"")</f>
        <v/>
      </c>
      <c r="R126" s="14">
        <f>IF(J126&gt;0,J126*D126,"")</f>
        <v/>
      </c>
      <c r="S126" s="14">
        <f>IF(R126&gt;0,O126-R126,"")</f>
        <v/>
      </c>
      <c r="T126" s="14">
        <f>IF(R126&gt;0,P126-R126,"")</f>
        <v/>
      </c>
      <c r="U126" s="14">
        <f>ROUND((E126-G126)*D126,0)</f>
        <v/>
      </c>
    </row>
    <row r="127">
      <c r="A127" t="inlineStr">
        <is>
          <t>nan</t>
        </is>
      </c>
      <c r="B127" t="n">
        <v/>
      </c>
      <c r="C127" t="n">
        <v/>
      </c>
      <c r="D127" s="19" t="n">
        <v>0</v>
      </c>
      <c r="E127" s="14" t="inlineStr"/>
      <c r="F127" s="14">
        <f>D127*E127</f>
        <v/>
      </c>
      <c r="G127" s="14" t="n"/>
      <c r="H127" s="14">
        <f>IF(G127&gt;0,ROUND(G127*1.19,0),"")</f>
        <v/>
      </c>
      <c r="I127" s="14">
        <f>IF(H127&gt;0,ROUND(H127*0.08,0),"")</f>
        <v/>
      </c>
      <c r="J127" s="14">
        <f>IF(H127&gt;0,H127+I127,"")</f>
        <v/>
      </c>
      <c r="K127" s="14" t="n"/>
      <c r="L127" s="14" t="n"/>
      <c r="M127" s="14">
        <f>IF(AND(K127&gt;0,J127&gt;0),K127-J127,"")</f>
        <v/>
      </c>
      <c r="N127" s="14">
        <f>IF(AND(L127&gt;0,J127&gt;0),L127-J127,"")</f>
        <v/>
      </c>
      <c r="O127" s="14">
        <f>D127*K127</f>
        <v/>
      </c>
      <c r="P127" s="14">
        <f>D127*L127</f>
        <v/>
      </c>
      <c r="Q127" s="14">
        <f>IF(I127&gt;0,I127*D127,"")</f>
        <v/>
      </c>
      <c r="R127" s="14">
        <f>IF(J127&gt;0,J127*D127,"")</f>
        <v/>
      </c>
      <c r="S127" s="14">
        <f>IF(R127&gt;0,O127-R127,"")</f>
        <v/>
      </c>
      <c r="T127" s="14">
        <f>IF(R127&gt;0,P127-R127,"")</f>
        <v/>
      </c>
      <c r="U127" s="14">
        <f>ROUND((E127-G127)*D127,0)</f>
        <v/>
      </c>
    </row>
    <row r="128">
      <c r="A128" t="inlineStr">
        <is>
          <t>nan</t>
        </is>
      </c>
      <c r="B128" t="n">
        <v/>
      </c>
      <c r="C128" t="n">
        <v/>
      </c>
      <c r="D128" s="19" t="n">
        <v>0</v>
      </c>
      <c r="E128" s="14" t="inlineStr"/>
      <c r="F128" s="14">
        <f>D128*E128</f>
        <v/>
      </c>
      <c r="G128" s="14" t="n"/>
      <c r="H128" s="14">
        <f>IF(G128&gt;0,ROUND(G128*1.19,0),"")</f>
        <v/>
      </c>
      <c r="I128" s="14">
        <f>IF(H128&gt;0,ROUND(H128*0.08,0),"")</f>
        <v/>
      </c>
      <c r="J128" s="14">
        <f>IF(H128&gt;0,H128+I128,"")</f>
        <v/>
      </c>
      <c r="K128" s="14" t="n"/>
      <c r="L128" s="14" t="n"/>
      <c r="M128" s="14">
        <f>IF(AND(K128&gt;0,J128&gt;0),K128-J128,"")</f>
        <v/>
      </c>
      <c r="N128" s="14">
        <f>IF(AND(L128&gt;0,J128&gt;0),L128-J128,"")</f>
        <v/>
      </c>
      <c r="O128" s="14">
        <f>D128*K128</f>
        <v/>
      </c>
      <c r="P128" s="14">
        <f>D128*L128</f>
        <v/>
      </c>
      <c r="Q128" s="14">
        <f>IF(I128&gt;0,I128*D128,"")</f>
        <v/>
      </c>
      <c r="R128" s="14">
        <f>IF(J128&gt;0,J128*D128,"")</f>
        <v/>
      </c>
      <c r="S128" s="14">
        <f>IF(R128&gt;0,O128-R128,"")</f>
        <v/>
      </c>
      <c r="T128" s="14">
        <f>IF(R128&gt;0,P128-R128,"")</f>
        <v/>
      </c>
      <c r="U128" s="14">
        <f>ROUND((E128-G128)*D128,0)</f>
        <v/>
      </c>
    </row>
    <row r="129">
      <c r="A129" t="inlineStr">
        <is>
          <t>nan</t>
        </is>
      </c>
      <c r="B129" t="n">
        <v/>
      </c>
      <c r="C129" t="n">
        <v/>
      </c>
      <c r="D129" s="19" t="n">
        <v>0</v>
      </c>
      <c r="E129" s="14" t="inlineStr"/>
      <c r="F129" s="14">
        <f>D129*E129</f>
        <v/>
      </c>
      <c r="G129" s="14" t="n"/>
      <c r="H129" s="14">
        <f>IF(G129&gt;0,ROUND(G129*1.19,0),"")</f>
        <v/>
      </c>
      <c r="I129" s="14">
        <f>IF(H129&gt;0,ROUND(H129*0.08,0),"")</f>
        <v/>
      </c>
      <c r="J129" s="14">
        <f>IF(H129&gt;0,H129+I129,"")</f>
        <v/>
      </c>
      <c r="K129" s="14" t="n"/>
      <c r="L129" s="14" t="n"/>
      <c r="M129" s="14">
        <f>IF(AND(K129&gt;0,J129&gt;0),K129-J129,"")</f>
        <v/>
      </c>
      <c r="N129" s="14">
        <f>IF(AND(L129&gt;0,J129&gt;0),L129-J129,"")</f>
        <v/>
      </c>
      <c r="O129" s="14">
        <f>D129*K129</f>
        <v/>
      </c>
      <c r="P129" s="14">
        <f>D129*L129</f>
        <v/>
      </c>
      <c r="Q129" s="14">
        <f>IF(I129&gt;0,I129*D129,"")</f>
        <v/>
      </c>
      <c r="R129" s="14">
        <f>IF(J129&gt;0,J129*D129,"")</f>
        <v/>
      </c>
      <c r="S129" s="14">
        <f>IF(R129&gt;0,O129-R129,"")</f>
        <v/>
      </c>
      <c r="T129" s="14">
        <f>IF(R129&gt;0,P129-R129,"")</f>
        <v/>
      </c>
      <c r="U129" s="14">
        <f>ROUND((E129-G129)*D129,0)</f>
        <v/>
      </c>
    </row>
    <row r="130">
      <c r="A130" t="inlineStr">
        <is>
          <t>nan</t>
        </is>
      </c>
      <c r="B130" t="n">
        <v/>
      </c>
      <c r="C130" t="n">
        <v/>
      </c>
      <c r="D130" s="19" t="n">
        <v>0</v>
      </c>
      <c r="E130" s="14" t="inlineStr"/>
      <c r="F130" s="14">
        <f>D130*E130</f>
        <v/>
      </c>
      <c r="G130" s="14" t="n"/>
      <c r="H130" s="14">
        <f>IF(G130&gt;0,ROUND(G130*1.19,0),"")</f>
        <v/>
      </c>
      <c r="I130" s="14">
        <f>IF(H130&gt;0,ROUND(H130*0.08,0),"")</f>
        <v/>
      </c>
      <c r="J130" s="14">
        <f>IF(H130&gt;0,H130+I130,"")</f>
        <v/>
      </c>
      <c r="K130" s="14" t="n"/>
      <c r="L130" s="14" t="n"/>
      <c r="M130" s="14">
        <f>IF(AND(K130&gt;0,J130&gt;0),K130-J130,"")</f>
        <v/>
      </c>
      <c r="N130" s="14">
        <f>IF(AND(L130&gt;0,J130&gt;0),L130-J130,"")</f>
        <v/>
      </c>
      <c r="O130" s="14">
        <f>D130*K130</f>
        <v/>
      </c>
      <c r="P130" s="14">
        <f>D130*L130</f>
        <v/>
      </c>
      <c r="Q130" s="14">
        <f>IF(I130&gt;0,I130*D130,"")</f>
        <v/>
      </c>
      <c r="R130" s="14">
        <f>IF(J130&gt;0,J130*D130,"")</f>
        <v/>
      </c>
      <c r="S130" s="14">
        <f>IF(R130&gt;0,O130-R130,"")</f>
        <v/>
      </c>
      <c r="T130" s="14">
        <f>IF(R130&gt;0,P130-R130,"")</f>
        <v/>
      </c>
      <c r="U130" s="14">
        <f>ROUND((E130-G130)*D130,0)</f>
        <v/>
      </c>
    </row>
    <row r="131">
      <c r="A131" t="inlineStr">
        <is>
          <t>nan</t>
        </is>
      </c>
      <c r="B131" t="n">
        <v/>
      </c>
      <c r="C131" t="n">
        <v/>
      </c>
      <c r="D131" s="19" t="n">
        <v>0</v>
      </c>
      <c r="E131" s="14" t="inlineStr"/>
      <c r="F131" s="14">
        <f>D131*E131</f>
        <v/>
      </c>
      <c r="G131" s="14" t="n"/>
      <c r="H131" s="14">
        <f>IF(G131&gt;0,ROUND(G131*1.19,0),"")</f>
        <v/>
      </c>
      <c r="I131" s="14">
        <f>IF(H131&gt;0,ROUND(H131*0.08,0),"")</f>
        <v/>
      </c>
      <c r="J131" s="14">
        <f>IF(H131&gt;0,H131+I131,"")</f>
        <v/>
      </c>
      <c r="K131" s="14" t="n"/>
      <c r="L131" s="14" t="n"/>
      <c r="M131" s="14">
        <f>IF(AND(K131&gt;0,J131&gt;0),K131-J131,"")</f>
        <v/>
      </c>
      <c r="N131" s="14">
        <f>IF(AND(L131&gt;0,J131&gt;0),L131-J131,"")</f>
        <v/>
      </c>
      <c r="O131" s="14">
        <f>D131*K131</f>
        <v/>
      </c>
      <c r="P131" s="14">
        <f>D131*L131</f>
        <v/>
      </c>
      <c r="Q131" s="14">
        <f>IF(I131&gt;0,I131*D131,"")</f>
        <v/>
      </c>
      <c r="R131" s="14">
        <f>IF(J131&gt;0,J131*D131,"")</f>
        <v/>
      </c>
      <c r="S131" s="14">
        <f>IF(R131&gt;0,O131-R131,"")</f>
        <v/>
      </c>
      <c r="T131" s="14">
        <f>IF(R131&gt;0,P131-R131,"")</f>
        <v/>
      </c>
      <c r="U131" s="14">
        <f>ROUND((E131-G131)*D131,0)</f>
        <v/>
      </c>
    </row>
    <row r="132">
      <c r="A132" t="inlineStr">
        <is>
          <t>nan</t>
        </is>
      </c>
      <c r="B132" t="n">
        <v/>
      </c>
      <c r="C132" t="n">
        <v/>
      </c>
      <c r="D132" s="19" t="n">
        <v>0</v>
      </c>
      <c r="E132" s="14" t="inlineStr"/>
      <c r="F132" s="14">
        <f>D132*E132</f>
        <v/>
      </c>
      <c r="G132" s="14" t="n"/>
      <c r="H132" s="14">
        <f>IF(G132&gt;0,ROUND(G132*1.19,0),"")</f>
        <v/>
      </c>
      <c r="I132" s="14">
        <f>IF(H132&gt;0,ROUND(H132*0.08,0),"")</f>
        <v/>
      </c>
      <c r="J132" s="14">
        <f>IF(H132&gt;0,H132+I132,"")</f>
        <v/>
      </c>
      <c r="K132" s="14" t="n"/>
      <c r="L132" s="14" t="n"/>
      <c r="M132" s="14">
        <f>IF(AND(K132&gt;0,J132&gt;0),K132-J132,"")</f>
        <v/>
      </c>
      <c r="N132" s="14">
        <f>IF(AND(L132&gt;0,J132&gt;0),L132-J132,"")</f>
        <v/>
      </c>
      <c r="O132" s="14">
        <f>D132*K132</f>
        <v/>
      </c>
      <c r="P132" s="14">
        <f>D132*L132</f>
        <v/>
      </c>
      <c r="Q132" s="14">
        <f>IF(I132&gt;0,I132*D132,"")</f>
        <v/>
      </c>
      <c r="R132" s="14">
        <f>IF(J132&gt;0,J132*D132,"")</f>
        <v/>
      </c>
      <c r="S132" s="14">
        <f>IF(R132&gt;0,O132-R132,"")</f>
        <v/>
      </c>
      <c r="T132" s="14">
        <f>IF(R132&gt;0,P132-R132,"")</f>
        <v/>
      </c>
      <c r="U132" s="14">
        <f>ROUND((E132-G132)*D132,0)</f>
        <v/>
      </c>
    </row>
    <row r="133">
      <c r="A133" t="inlineStr">
        <is>
          <t>nan</t>
        </is>
      </c>
      <c r="B133" t="n">
        <v/>
      </c>
      <c r="C133" t="n">
        <v/>
      </c>
      <c r="D133" s="19" t="n">
        <v>0</v>
      </c>
      <c r="E133" s="14" t="inlineStr"/>
      <c r="F133" s="14">
        <f>D133*E133</f>
        <v/>
      </c>
      <c r="G133" s="14" t="n"/>
      <c r="H133" s="14">
        <f>IF(G133&gt;0,ROUND(G133*1.19,0),"")</f>
        <v/>
      </c>
      <c r="I133" s="14">
        <f>IF(H133&gt;0,ROUND(H133*0.08,0),"")</f>
        <v/>
      </c>
      <c r="J133" s="14">
        <f>IF(H133&gt;0,H133+I133,"")</f>
        <v/>
      </c>
      <c r="K133" s="14" t="n"/>
      <c r="L133" s="14" t="n"/>
      <c r="M133" s="14">
        <f>IF(AND(K133&gt;0,J133&gt;0),K133-J133,"")</f>
        <v/>
      </c>
      <c r="N133" s="14">
        <f>IF(AND(L133&gt;0,J133&gt;0),L133-J133,"")</f>
        <v/>
      </c>
      <c r="O133" s="14">
        <f>D133*K133</f>
        <v/>
      </c>
      <c r="P133" s="14">
        <f>D133*L133</f>
        <v/>
      </c>
      <c r="Q133" s="14">
        <f>IF(I133&gt;0,I133*D133,"")</f>
        <v/>
      </c>
      <c r="R133" s="14">
        <f>IF(J133&gt;0,J133*D133,"")</f>
        <v/>
      </c>
      <c r="S133" s="14">
        <f>IF(R133&gt;0,O133-R133,"")</f>
        <v/>
      </c>
      <c r="T133" s="14">
        <f>IF(R133&gt;0,P133-R133,"")</f>
        <v/>
      </c>
      <c r="U133" s="14">
        <f>ROUND((E133-G133)*D133,0)</f>
        <v/>
      </c>
    </row>
    <row r="134">
      <c r="A134" t="inlineStr">
        <is>
          <t>nan</t>
        </is>
      </c>
      <c r="B134" t="n">
        <v/>
      </c>
      <c r="C134" t="n">
        <v/>
      </c>
      <c r="D134" s="19" t="n">
        <v>0</v>
      </c>
      <c r="E134" s="14" t="inlineStr"/>
      <c r="F134" s="14">
        <f>D134*E134</f>
        <v/>
      </c>
      <c r="G134" s="14" t="n"/>
      <c r="H134" s="14">
        <f>IF(G134&gt;0,ROUND(G134*1.19,0),"")</f>
        <v/>
      </c>
      <c r="I134" s="14">
        <f>IF(H134&gt;0,ROUND(H134*0.08,0),"")</f>
        <v/>
      </c>
      <c r="J134" s="14">
        <f>IF(H134&gt;0,H134+I134,"")</f>
        <v/>
      </c>
      <c r="K134" s="14" t="n"/>
      <c r="L134" s="14" t="n"/>
      <c r="M134" s="14">
        <f>IF(AND(K134&gt;0,J134&gt;0),K134-J134,"")</f>
        <v/>
      </c>
      <c r="N134" s="14">
        <f>IF(AND(L134&gt;0,J134&gt;0),L134-J134,"")</f>
        <v/>
      </c>
      <c r="O134" s="14">
        <f>D134*K134</f>
        <v/>
      </c>
      <c r="P134" s="14">
        <f>D134*L134</f>
        <v/>
      </c>
      <c r="Q134" s="14">
        <f>IF(I134&gt;0,I134*D134,"")</f>
        <v/>
      </c>
      <c r="R134" s="14">
        <f>IF(J134&gt;0,J134*D134,"")</f>
        <v/>
      </c>
      <c r="S134" s="14">
        <f>IF(R134&gt;0,O134-R134,"")</f>
        <v/>
      </c>
      <c r="T134" s="14">
        <f>IF(R134&gt;0,P134-R134,"")</f>
        <v/>
      </c>
      <c r="U134" s="14">
        <f>ROUND((E134-G134)*D134,0)</f>
        <v/>
      </c>
    </row>
    <row r="135">
      <c r="A135" t="inlineStr">
        <is>
          <t>nan</t>
        </is>
      </c>
      <c r="B135" t="n">
        <v/>
      </c>
      <c r="C135" t="n">
        <v/>
      </c>
      <c r="D135" s="19" t="n">
        <v>0</v>
      </c>
      <c r="E135" s="14" t="inlineStr"/>
      <c r="F135" s="14">
        <f>D135*E135</f>
        <v/>
      </c>
      <c r="G135" s="14" t="n"/>
      <c r="H135" s="14">
        <f>IF(G135&gt;0,ROUND(G135*1.19,0),"")</f>
        <v/>
      </c>
      <c r="I135" s="14">
        <f>IF(H135&gt;0,ROUND(H135*0.08,0),"")</f>
        <v/>
      </c>
      <c r="J135" s="14">
        <f>IF(H135&gt;0,H135+I135,"")</f>
        <v/>
      </c>
      <c r="K135" s="14" t="n"/>
      <c r="L135" s="14" t="n"/>
      <c r="M135" s="14">
        <f>IF(AND(K135&gt;0,J135&gt;0),K135-J135,"")</f>
        <v/>
      </c>
      <c r="N135" s="14">
        <f>IF(AND(L135&gt;0,J135&gt;0),L135-J135,"")</f>
        <v/>
      </c>
      <c r="O135" s="14">
        <f>D135*K135</f>
        <v/>
      </c>
      <c r="P135" s="14">
        <f>D135*L135</f>
        <v/>
      </c>
      <c r="Q135" s="14">
        <f>IF(I135&gt;0,I135*D135,"")</f>
        <v/>
      </c>
      <c r="R135" s="14">
        <f>IF(J135&gt;0,J135*D135,"")</f>
        <v/>
      </c>
      <c r="S135" s="14">
        <f>IF(R135&gt;0,O135-R135,"")</f>
        <v/>
      </c>
      <c r="T135" s="14">
        <f>IF(R135&gt;0,P135-R135,"")</f>
        <v/>
      </c>
      <c r="U135" s="14">
        <f>ROUND((E135-G135)*D135,0)</f>
        <v/>
      </c>
    </row>
    <row r="136">
      <c r="A136" t="inlineStr">
        <is>
          <t>nan</t>
        </is>
      </c>
      <c r="B136" t="n">
        <v/>
      </c>
      <c r="C136" t="n">
        <v/>
      </c>
      <c r="D136" s="19" t="n">
        <v>0</v>
      </c>
      <c r="E136" s="14" t="inlineStr"/>
      <c r="F136" s="14">
        <f>D136*E136</f>
        <v/>
      </c>
      <c r="G136" s="14" t="n"/>
      <c r="H136" s="14">
        <f>IF(G136&gt;0,ROUND(G136*1.19,0),"")</f>
        <v/>
      </c>
      <c r="I136" s="14">
        <f>IF(H136&gt;0,ROUND(H136*0.08,0),"")</f>
        <v/>
      </c>
      <c r="J136" s="14">
        <f>IF(H136&gt;0,H136+I136,"")</f>
        <v/>
      </c>
      <c r="K136" s="14" t="n"/>
      <c r="L136" s="14" t="n"/>
      <c r="M136" s="14">
        <f>IF(AND(K136&gt;0,J136&gt;0),K136-J136,"")</f>
        <v/>
      </c>
      <c r="N136" s="14">
        <f>IF(AND(L136&gt;0,J136&gt;0),L136-J136,"")</f>
        <v/>
      </c>
      <c r="O136" s="14">
        <f>D136*K136</f>
        <v/>
      </c>
      <c r="P136" s="14">
        <f>D136*L136</f>
        <v/>
      </c>
      <c r="Q136" s="14">
        <f>IF(I136&gt;0,I136*D136,"")</f>
        <v/>
      </c>
      <c r="R136" s="14">
        <f>IF(J136&gt;0,J136*D136,"")</f>
        <v/>
      </c>
      <c r="S136" s="14">
        <f>IF(R136&gt;0,O136-R136,"")</f>
        <v/>
      </c>
      <c r="T136" s="14">
        <f>IF(R136&gt;0,P136-R136,"")</f>
        <v/>
      </c>
      <c r="U136" s="14">
        <f>ROUND((E136-G136)*D136,0)</f>
        <v/>
      </c>
    </row>
    <row r="137">
      <c r="A137" t="inlineStr">
        <is>
          <t>nan</t>
        </is>
      </c>
      <c r="B137" t="n">
        <v/>
      </c>
      <c r="C137" t="n">
        <v/>
      </c>
      <c r="D137" s="19" t="n">
        <v>0</v>
      </c>
      <c r="E137" s="14" t="inlineStr"/>
      <c r="F137" s="14">
        <f>D137*E137</f>
        <v/>
      </c>
      <c r="G137" s="14" t="n"/>
      <c r="H137" s="14">
        <f>IF(G137&gt;0,ROUND(G137*1.19,0),"")</f>
        <v/>
      </c>
      <c r="I137" s="14">
        <f>IF(H137&gt;0,ROUND(H137*0.08,0),"")</f>
        <v/>
      </c>
      <c r="J137" s="14">
        <f>IF(H137&gt;0,H137+I137,"")</f>
        <v/>
      </c>
      <c r="K137" s="14" t="n"/>
      <c r="L137" s="14" t="n"/>
      <c r="M137" s="14">
        <f>IF(AND(K137&gt;0,J137&gt;0),K137-J137,"")</f>
        <v/>
      </c>
      <c r="N137" s="14">
        <f>IF(AND(L137&gt;0,J137&gt;0),L137-J137,"")</f>
        <v/>
      </c>
      <c r="O137" s="14">
        <f>D137*K137</f>
        <v/>
      </c>
      <c r="P137" s="14">
        <f>D137*L137</f>
        <v/>
      </c>
      <c r="Q137" s="14">
        <f>IF(I137&gt;0,I137*D137,"")</f>
        <v/>
      </c>
      <c r="R137" s="14">
        <f>IF(J137&gt;0,J137*D137,"")</f>
        <v/>
      </c>
      <c r="S137" s="14">
        <f>IF(R137&gt;0,O137-R137,"")</f>
        <v/>
      </c>
      <c r="T137" s="14">
        <f>IF(R137&gt;0,P137-R137,"")</f>
        <v/>
      </c>
      <c r="U137" s="14">
        <f>ROUND((E137-G137)*D137,0)</f>
        <v/>
      </c>
    </row>
    <row r="138">
      <c r="A138" t="inlineStr">
        <is>
          <t>nan</t>
        </is>
      </c>
      <c r="B138" t="n">
        <v/>
      </c>
      <c r="C138" t="n">
        <v/>
      </c>
      <c r="D138" s="19" t="n">
        <v>0</v>
      </c>
      <c r="E138" s="14" t="inlineStr"/>
      <c r="F138" s="14">
        <f>D138*E138</f>
        <v/>
      </c>
      <c r="G138" s="14" t="n"/>
      <c r="H138" s="14">
        <f>IF(G138&gt;0,ROUND(G138*1.19,0),"")</f>
        <v/>
      </c>
      <c r="I138" s="14">
        <f>IF(H138&gt;0,ROUND(H138*0.08,0),"")</f>
        <v/>
      </c>
      <c r="J138" s="14">
        <f>IF(H138&gt;0,H138+I138,"")</f>
        <v/>
      </c>
      <c r="K138" s="14" t="n"/>
      <c r="L138" s="14" t="n"/>
      <c r="M138" s="14">
        <f>IF(AND(K138&gt;0,J138&gt;0),K138-J138,"")</f>
        <v/>
      </c>
      <c r="N138" s="14">
        <f>IF(AND(L138&gt;0,J138&gt;0),L138-J138,"")</f>
        <v/>
      </c>
      <c r="O138" s="14">
        <f>D138*K138</f>
        <v/>
      </c>
      <c r="P138" s="14">
        <f>D138*L138</f>
        <v/>
      </c>
      <c r="Q138" s="14">
        <f>IF(I138&gt;0,I138*D138,"")</f>
        <v/>
      </c>
      <c r="R138" s="14">
        <f>IF(J138&gt;0,J138*D138,"")</f>
        <v/>
      </c>
      <c r="S138" s="14">
        <f>IF(R138&gt;0,O138-R138,"")</f>
        <v/>
      </c>
      <c r="T138" s="14">
        <f>IF(R138&gt;0,P138-R138,"")</f>
        <v/>
      </c>
      <c r="U138" s="14">
        <f>ROUND((E138-G138)*D138,0)</f>
        <v/>
      </c>
    </row>
    <row r="139">
      <c r="A139" t="inlineStr">
        <is>
          <t>nan</t>
        </is>
      </c>
      <c r="B139" t="n">
        <v/>
      </c>
      <c r="C139" t="n">
        <v/>
      </c>
      <c r="D139" s="19" t="n">
        <v>0</v>
      </c>
      <c r="E139" s="14" t="inlineStr"/>
      <c r="F139" s="14">
        <f>D139*E139</f>
        <v/>
      </c>
      <c r="G139" s="14" t="n"/>
      <c r="H139" s="14">
        <f>IF(G139&gt;0,ROUND(G139*1.19,0),"")</f>
        <v/>
      </c>
      <c r="I139" s="14">
        <f>IF(H139&gt;0,ROUND(H139*0.08,0),"")</f>
        <v/>
      </c>
      <c r="J139" s="14">
        <f>IF(H139&gt;0,H139+I139,"")</f>
        <v/>
      </c>
      <c r="K139" s="14" t="n"/>
      <c r="L139" s="14" t="n"/>
      <c r="M139" s="14">
        <f>IF(AND(K139&gt;0,J139&gt;0),K139-J139,"")</f>
        <v/>
      </c>
      <c r="N139" s="14">
        <f>IF(AND(L139&gt;0,J139&gt;0),L139-J139,"")</f>
        <v/>
      </c>
      <c r="O139" s="14">
        <f>D139*K139</f>
        <v/>
      </c>
      <c r="P139" s="14">
        <f>D139*L139</f>
        <v/>
      </c>
      <c r="Q139" s="14">
        <f>IF(I139&gt;0,I139*D139,"")</f>
        <v/>
      </c>
      <c r="R139" s="14">
        <f>IF(J139&gt;0,J139*D139,"")</f>
        <v/>
      </c>
      <c r="S139" s="14">
        <f>IF(R139&gt;0,O139-R139,"")</f>
        <v/>
      </c>
      <c r="T139" s="14">
        <f>IF(R139&gt;0,P139-R139,"")</f>
        <v/>
      </c>
      <c r="U139" s="14">
        <f>ROUND((E139-G139)*D139,0)</f>
        <v/>
      </c>
    </row>
    <row r="140">
      <c r="A140" t="inlineStr">
        <is>
          <t>nan</t>
        </is>
      </c>
      <c r="B140" t="n">
        <v/>
      </c>
      <c r="C140" t="n">
        <v/>
      </c>
      <c r="D140" s="19" t="n">
        <v>0</v>
      </c>
      <c r="E140" s="14" t="inlineStr"/>
      <c r="F140" s="14">
        <f>D140*E140</f>
        <v/>
      </c>
      <c r="G140" s="14" t="n"/>
      <c r="H140" s="14">
        <f>IF(G140&gt;0,ROUND(G140*1.19,0),"")</f>
        <v/>
      </c>
      <c r="I140" s="14">
        <f>IF(H140&gt;0,ROUND(H140*0.08,0),"")</f>
        <v/>
      </c>
      <c r="J140" s="14">
        <f>IF(H140&gt;0,H140+I140,"")</f>
        <v/>
      </c>
      <c r="K140" s="14" t="n"/>
      <c r="L140" s="14" t="n"/>
      <c r="M140" s="14">
        <f>IF(AND(K140&gt;0,J140&gt;0),K140-J140,"")</f>
        <v/>
      </c>
      <c r="N140" s="14">
        <f>IF(AND(L140&gt;0,J140&gt;0),L140-J140,"")</f>
        <v/>
      </c>
      <c r="O140" s="14">
        <f>D140*K140</f>
        <v/>
      </c>
      <c r="P140" s="14">
        <f>D140*L140</f>
        <v/>
      </c>
      <c r="Q140" s="14">
        <f>IF(I140&gt;0,I140*D140,"")</f>
        <v/>
      </c>
      <c r="R140" s="14">
        <f>IF(J140&gt;0,J140*D140,"")</f>
        <v/>
      </c>
      <c r="S140" s="14">
        <f>IF(R140&gt;0,O140-R140,"")</f>
        <v/>
      </c>
      <c r="T140" s="14">
        <f>IF(R140&gt;0,P140-R140,"")</f>
        <v/>
      </c>
      <c r="U140" s="14">
        <f>ROUND((E140-G140)*D140,0)</f>
        <v/>
      </c>
    </row>
    <row r="141">
      <c r="A141" t="inlineStr">
        <is>
          <t>nan</t>
        </is>
      </c>
      <c r="B141" t="n">
        <v/>
      </c>
      <c r="C141" t="n">
        <v/>
      </c>
      <c r="D141" s="19" t="n">
        <v>0</v>
      </c>
      <c r="E141" s="14" t="inlineStr"/>
      <c r="F141" s="14">
        <f>D141*E141</f>
        <v/>
      </c>
      <c r="G141" s="14" t="n"/>
      <c r="H141" s="14">
        <f>IF(G141&gt;0,ROUND(G141*1.19,0),"")</f>
        <v/>
      </c>
      <c r="I141" s="14">
        <f>IF(H141&gt;0,ROUND(H141*0.08,0),"")</f>
        <v/>
      </c>
      <c r="J141" s="14">
        <f>IF(H141&gt;0,H141+I141,"")</f>
        <v/>
      </c>
      <c r="K141" s="14" t="n"/>
      <c r="L141" s="14" t="n"/>
      <c r="M141" s="14">
        <f>IF(AND(K141&gt;0,J141&gt;0),K141-J141,"")</f>
        <v/>
      </c>
      <c r="N141" s="14">
        <f>IF(AND(L141&gt;0,J141&gt;0),L141-J141,"")</f>
        <v/>
      </c>
      <c r="O141" s="14">
        <f>D141*K141</f>
        <v/>
      </c>
      <c r="P141" s="14">
        <f>D141*L141</f>
        <v/>
      </c>
      <c r="Q141" s="14">
        <f>IF(I141&gt;0,I141*D141,"")</f>
        <v/>
      </c>
      <c r="R141" s="14">
        <f>IF(J141&gt;0,J141*D141,"")</f>
        <v/>
      </c>
      <c r="S141" s="14">
        <f>IF(R141&gt;0,O141-R141,"")</f>
        <v/>
      </c>
      <c r="T141" s="14">
        <f>IF(R141&gt;0,P141-R141,"")</f>
        <v/>
      </c>
      <c r="U141" s="14">
        <f>ROUND((E141-G141)*D141,0)</f>
        <v/>
      </c>
    </row>
    <row r="142">
      <c r="A142" t="inlineStr">
        <is>
          <t>nan</t>
        </is>
      </c>
      <c r="B142" t="n">
        <v/>
      </c>
      <c r="C142" t="n">
        <v/>
      </c>
      <c r="D142" s="19" t="n">
        <v>0</v>
      </c>
      <c r="E142" s="14" t="inlineStr"/>
      <c r="F142" s="14">
        <f>D142*E142</f>
        <v/>
      </c>
      <c r="G142" s="14" t="n"/>
      <c r="H142" s="14">
        <f>IF(G142&gt;0,ROUND(G142*1.19,0),"")</f>
        <v/>
      </c>
      <c r="I142" s="14">
        <f>IF(H142&gt;0,ROUND(H142*0.08,0),"")</f>
        <v/>
      </c>
      <c r="J142" s="14">
        <f>IF(H142&gt;0,H142+I142,"")</f>
        <v/>
      </c>
      <c r="K142" s="14" t="n"/>
      <c r="L142" s="14" t="n"/>
      <c r="M142" s="14">
        <f>IF(AND(K142&gt;0,J142&gt;0),K142-J142,"")</f>
        <v/>
      </c>
      <c r="N142" s="14">
        <f>IF(AND(L142&gt;0,J142&gt;0),L142-J142,"")</f>
        <v/>
      </c>
      <c r="O142" s="14">
        <f>D142*K142</f>
        <v/>
      </c>
      <c r="P142" s="14">
        <f>D142*L142</f>
        <v/>
      </c>
      <c r="Q142" s="14">
        <f>IF(I142&gt;0,I142*D142,"")</f>
        <v/>
      </c>
      <c r="R142" s="14">
        <f>IF(J142&gt;0,J142*D142,"")</f>
        <v/>
      </c>
      <c r="S142" s="14">
        <f>IF(R142&gt;0,O142-R142,"")</f>
        <v/>
      </c>
      <c r="T142" s="14">
        <f>IF(R142&gt;0,P142-R142,"")</f>
        <v/>
      </c>
      <c r="U142" s="14">
        <f>ROUND((E142-G142)*D142,0)</f>
        <v/>
      </c>
    </row>
    <row r="143">
      <c r="A143" t="inlineStr">
        <is>
          <t>nan</t>
        </is>
      </c>
      <c r="B143" t="n">
        <v/>
      </c>
      <c r="C143" t="n">
        <v/>
      </c>
      <c r="D143" s="19" t="n">
        <v>0</v>
      </c>
      <c r="E143" s="14" t="inlineStr"/>
      <c r="F143" s="14">
        <f>D143*E143</f>
        <v/>
      </c>
      <c r="G143" s="14" t="n"/>
      <c r="H143" s="14">
        <f>IF(G143&gt;0,ROUND(G143*1.19,0),"")</f>
        <v/>
      </c>
      <c r="I143" s="14">
        <f>IF(H143&gt;0,ROUND(H143*0.08,0),"")</f>
        <v/>
      </c>
      <c r="J143" s="14">
        <f>IF(H143&gt;0,H143+I143,"")</f>
        <v/>
      </c>
      <c r="K143" s="14" t="n"/>
      <c r="L143" s="14" t="n"/>
      <c r="M143" s="14">
        <f>IF(AND(K143&gt;0,J143&gt;0),K143-J143,"")</f>
        <v/>
      </c>
      <c r="N143" s="14">
        <f>IF(AND(L143&gt;0,J143&gt;0),L143-J143,"")</f>
        <v/>
      </c>
      <c r="O143" s="14">
        <f>D143*K143</f>
        <v/>
      </c>
      <c r="P143" s="14">
        <f>D143*L143</f>
        <v/>
      </c>
      <c r="Q143" s="14">
        <f>IF(I143&gt;0,I143*D143,"")</f>
        <v/>
      </c>
      <c r="R143" s="14">
        <f>IF(J143&gt;0,J143*D143,"")</f>
        <v/>
      </c>
      <c r="S143" s="14">
        <f>IF(R143&gt;0,O143-R143,"")</f>
        <v/>
      </c>
      <c r="T143" s="14">
        <f>IF(R143&gt;0,P143-R143,"")</f>
        <v/>
      </c>
      <c r="U143" s="14">
        <f>ROUND((E143-G143)*D143,0)</f>
        <v/>
      </c>
    </row>
    <row r="144">
      <c r="A144" t="inlineStr">
        <is>
          <t>nan</t>
        </is>
      </c>
      <c r="B144" t="n">
        <v/>
      </c>
      <c r="C144" t="n">
        <v/>
      </c>
      <c r="D144" s="19" t="n">
        <v>0</v>
      </c>
      <c r="E144" s="14" t="inlineStr"/>
      <c r="F144" s="14">
        <f>D144*E144</f>
        <v/>
      </c>
      <c r="G144" s="14" t="n"/>
      <c r="H144" s="14">
        <f>IF(G144&gt;0,ROUND(G144*1.19,0),"")</f>
        <v/>
      </c>
      <c r="I144" s="14">
        <f>IF(H144&gt;0,ROUND(H144*0.08,0),"")</f>
        <v/>
      </c>
      <c r="J144" s="14">
        <f>IF(H144&gt;0,H144+I144,"")</f>
        <v/>
      </c>
      <c r="K144" s="14" t="n"/>
      <c r="L144" s="14" t="n"/>
      <c r="M144" s="14">
        <f>IF(AND(K144&gt;0,J144&gt;0),K144-J144,"")</f>
        <v/>
      </c>
      <c r="N144" s="14">
        <f>IF(AND(L144&gt;0,J144&gt;0),L144-J144,"")</f>
        <v/>
      </c>
      <c r="O144" s="14">
        <f>D144*K144</f>
        <v/>
      </c>
      <c r="P144" s="14">
        <f>D144*L144</f>
        <v/>
      </c>
      <c r="Q144" s="14">
        <f>IF(I144&gt;0,I144*D144,"")</f>
        <v/>
      </c>
      <c r="R144" s="14">
        <f>IF(J144&gt;0,J144*D144,"")</f>
        <v/>
      </c>
      <c r="S144" s="14">
        <f>IF(R144&gt;0,O144-R144,"")</f>
        <v/>
      </c>
      <c r="T144" s="14">
        <f>IF(R144&gt;0,P144-R144,"")</f>
        <v/>
      </c>
      <c r="U144" s="14">
        <f>ROUND((E144-G144)*D144,0)</f>
        <v/>
      </c>
    </row>
    <row r="145">
      <c r="A145" t="inlineStr">
        <is>
          <t>nan</t>
        </is>
      </c>
      <c r="B145" t="n">
        <v/>
      </c>
      <c r="C145" t="n">
        <v/>
      </c>
      <c r="D145" s="19" t="n">
        <v>0</v>
      </c>
      <c r="E145" s="14" t="inlineStr"/>
      <c r="F145" s="14">
        <f>D145*E145</f>
        <v/>
      </c>
      <c r="G145" s="14" t="n"/>
      <c r="H145" s="14">
        <f>IF(G145&gt;0,ROUND(G145*1.19,0),"")</f>
        <v/>
      </c>
      <c r="I145" s="14">
        <f>IF(H145&gt;0,ROUND(H145*0.08,0),"")</f>
        <v/>
      </c>
      <c r="J145" s="14">
        <f>IF(H145&gt;0,H145+I145,"")</f>
        <v/>
      </c>
      <c r="K145" s="14" t="n"/>
      <c r="L145" s="14" t="n"/>
      <c r="M145" s="14">
        <f>IF(AND(K145&gt;0,J145&gt;0),K145-J145,"")</f>
        <v/>
      </c>
      <c r="N145" s="14">
        <f>IF(AND(L145&gt;0,J145&gt;0),L145-J145,"")</f>
        <v/>
      </c>
      <c r="O145" s="14">
        <f>D145*K145</f>
        <v/>
      </c>
      <c r="P145" s="14">
        <f>D145*L145</f>
        <v/>
      </c>
      <c r="Q145" s="14">
        <f>IF(I145&gt;0,I145*D145,"")</f>
        <v/>
      </c>
      <c r="R145" s="14">
        <f>IF(J145&gt;0,J145*D145,"")</f>
        <v/>
      </c>
      <c r="S145" s="14">
        <f>IF(R145&gt;0,O145-R145,"")</f>
        <v/>
      </c>
      <c r="T145" s="14">
        <f>IF(R145&gt;0,P145-R145,"")</f>
        <v/>
      </c>
      <c r="U145" s="14">
        <f>ROUND((E145-G145)*D145,0)</f>
        <v/>
      </c>
    </row>
    <row r="146">
      <c r="A146" t="inlineStr">
        <is>
          <t>nan</t>
        </is>
      </c>
      <c r="B146" t="n">
        <v/>
      </c>
      <c r="C146" t="n">
        <v/>
      </c>
      <c r="D146" s="19" t="n">
        <v>0</v>
      </c>
      <c r="E146" s="14" t="inlineStr"/>
      <c r="F146" s="14">
        <f>D146*E146</f>
        <v/>
      </c>
      <c r="G146" s="14" t="n"/>
      <c r="H146" s="14">
        <f>IF(G146&gt;0,ROUND(G146*1.19,0),"")</f>
        <v/>
      </c>
      <c r="I146" s="14">
        <f>IF(H146&gt;0,ROUND(H146*0.08,0),"")</f>
        <v/>
      </c>
      <c r="J146" s="14">
        <f>IF(H146&gt;0,H146+I146,"")</f>
        <v/>
      </c>
      <c r="K146" s="14" t="n"/>
      <c r="L146" s="14" t="n"/>
      <c r="M146" s="14">
        <f>IF(AND(K146&gt;0,J146&gt;0),K146-J146,"")</f>
        <v/>
      </c>
      <c r="N146" s="14">
        <f>IF(AND(L146&gt;0,J146&gt;0),L146-J146,"")</f>
        <v/>
      </c>
      <c r="O146" s="14">
        <f>D146*K146</f>
        <v/>
      </c>
      <c r="P146" s="14">
        <f>D146*L146</f>
        <v/>
      </c>
      <c r="Q146" s="14">
        <f>IF(I146&gt;0,I146*D146,"")</f>
        <v/>
      </c>
      <c r="R146" s="14">
        <f>IF(J146&gt;0,J146*D146,"")</f>
        <v/>
      </c>
      <c r="S146" s="14">
        <f>IF(R146&gt;0,O146-R146,"")</f>
        <v/>
      </c>
      <c r="T146" s="14">
        <f>IF(R146&gt;0,P146-R146,"")</f>
        <v/>
      </c>
      <c r="U146" s="14">
        <f>ROUND((E146-G146)*D146,0)</f>
        <v/>
      </c>
    </row>
    <row r="147">
      <c r="A147" t="inlineStr">
        <is>
          <t>nan</t>
        </is>
      </c>
      <c r="B147" t="n">
        <v/>
      </c>
      <c r="C147" t="n">
        <v/>
      </c>
      <c r="D147" s="19" t="n">
        <v>0</v>
      </c>
      <c r="E147" s="14" t="inlineStr"/>
      <c r="F147" s="14">
        <f>D147*E147</f>
        <v/>
      </c>
      <c r="G147" s="14" t="n"/>
      <c r="H147" s="14">
        <f>IF(G147&gt;0,ROUND(G147*1.19,0),"")</f>
        <v/>
      </c>
      <c r="I147" s="14">
        <f>IF(H147&gt;0,ROUND(H147*0.08,0),"")</f>
        <v/>
      </c>
      <c r="J147" s="14">
        <f>IF(H147&gt;0,H147+I147,"")</f>
        <v/>
      </c>
      <c r="K147" s="14" t="n"/>
      <c r="L147" s="14" t="n"/>
      <c r="M147" s="14">
        <f>IF(AND(K147&gt;0,J147&gt;0),K147-J147,"")</f>
        <v/>
      </c>
      <c r="N147" s="14">
        <f>IF(AND(L147&gt;0,J147&gt;0),L147-J147,"")</f>
        <v/>
      </c>
      <c r="O147" s="14">
        <f>D147*K147</f>
        <v/>
      </c>
      <c r="P147" s="14">
        <f>D147*L147</f>
        <v/>
      </c>
      <c r="Q147" s="14">
        <f>IF(I147&gt;0,I147*D147,"")</f>
        <v/>
      </c>
      <c r="R147" s="14">
        <f>IF(J147&gt;0,J147*D147,"")</f>
        <v/>
      </c>
      <c r="S147" s="14">
        <f>IF(R147&gt;0,O147-R147,"")</f>
        <v/>
      </c>
      <c r="T147" s="14">
        <f>IF(R147&gt;0,P147-R147,"")</f>
        <v/>
      </c>
      <c r="U147" s="14">
        <f>ROUND((E147-G147)*D147,0)</f>
        <v/>
      </c>
    </row>
    <row r="148">
      <c r="A148" t="inlineStr">
        <is>
          <t>nan</t>
        </is>
      </c>
      <c r="B148" t="n">
        <v/>
      </c>
      <c r="C148" t="n">
        <v/>
      </c>
      <c r="D148" s="19" t="n">
        <v>0</v>
      </c>
      <c r="E148" s="14" t="inlineStr"/>
      <c r="F148" s="14">
        <f>D148*E148</f>
        <v/>
      </c>
      <c r="G148" s="14" t="n"/>
      <c r="H148" s="14">
        <f>IF(G148&gt;0,ROUND(G148*1.19,0),"")</f>
        <v/>
      </c>
      <c r="I148" s="14">
        <f>IF(H148&gt;0,ROUND(H148*0.08,0),"")</f>
        <v/>
      </c>
      <c r="J148" s="14">
        <f>IF(H148&gt;0,H148+I148,"")</f>
        <v/>
      </c>
      <c r="K148" s="14" t="n"/>
      <c r="L148" s="14" t="n"/>
      <c r="M148" s="14">
        <f>IF(AND(K148&gt;0,J148&gt;0),K148-J148,"")</f>
        <v/>
      </c>
      <c r="N148" s="14">
        <f>IF(AND(L148&gt;0,J148&gt;0),L148-J148,"")</f>
        <v/>
      </c>
      <c r="O148" s="14">
        <f>D148*K148</f>
        <v/>
      </c>
      <c r="P148" s="14">
        <f>D148*L148</f>
        <v/>
      </c>
      <c r="Q148" s="14">
        <f>IF(I148&gt;0,I148*D148,"")</f>
        <v/>
      </c>
      <c r="R148" s="14">
        <f>IF(J148&gt;0,J148*D148,"")</f>
        <v/>
      </c>
      <c r="S148" s="14">
        <f>IF(R148&gt;0,O148-R148,"")</f>
        <v/>
      </c>
      <c r="T148" s="14">
        <f>IF(R148&gt;0,P148-R148,"")</f>
        <v/>
      </c>
      <c r="U148" s="14">
        <f>ROUND((E148-G148)*D148,0)</f>
        <v/>
      </c>
    </row>
    <row r="149">
      <c r="A149" t="inlineStr">
        <is>
          <t>nan</t>
        </is>
      </c>
      <c r="B149" t="n">
        <v/>
      </c>
      <c r="C149" t="n">
        <v/>
      </c>
      <c r="D149" s="19" t="n">
        <v>0</v>
      </c>
      <c r="E149" s="14" t="inlineStr"/>
      <c r="F149" s="14">
        <f>D149*E149</f>
        <v/>
      </c>
      <c r="G149" s="14" t="n"/>
      <c r="H149" s="14">
        <f>IF(G149&gt;0,ROUND(G149*1.19,0),"")</f>
        <v/>
      </c>
      <c r="I149" s="14">
        <f>IF(H149&gt;0,ROUND(H149*0.08,0),"")</f>
        <v/>
      </c>
      <c r="J149" s="14">
        <f>IF(H149&gt;0,H149+I149,"")</f>
        <v/>
      </c>
      <c r="K149" s="14" t="n"/>
      <c r="L149" s="14" t="n"/>
      <c r="M149" s="14">
        <f>IF(AND(K149&gt;0,J149&gt;0),K149-J149,"")</f>
        <v/>
      </c>
      <c r="N149" s="14">
        <f>IF(AND(L149&gt;0,J149&gt;0),L149-J149,"")</f>
        <v/>
      </c>
      <c r="O149" s="14">
        <f>D149*K149</f>
        <v/>
      </c>
      <c r="P149" s="14">
        <f>D149*L149</f>
        <v/>
      </c>
      <c r="Q149" s="14">
        <f>IF(I149&gt;0,I149*D149,"")</f>
        <v/>
      </c>
      <c r="R149" s="14">
        <f>IF(J149&gt;0,J149*D149,"")</f>
        <v/>
      </c>
      <c r="S149" s="14">
        <f>IF(R149&gt;0,O149-R149,"")</f>
        <v/>
      </c>
      <c r="T149" s="14">
        <f>IF(R149&gt;0,P149-R149,"")</f>
        <v/>
      </c>
      <c r="U149" s="14">
        <f>ROUND((E149-G149)*D149,0)</f>
        <v/>
      </c>
    </row>
    <row r="150">
      <c r="A150" t="inlineStr">
        <is>
          <t>nan</t>
        </is>
      </c>
      <c r="B150" t="n">
        <v/>
      </c>
      <c r="C150" t="n">
        <v/>
      </c>
      <c r="D150" s="19" t="n">
        <v>0</v>
      </c>
      <c r="E150" s="14" t="inlineStr"/>
      <c r="F150" s="14">
        <f>D150*E150</f>
        <v/>
      </c>
      <c r="G150" s="14" t="n"/>
      <c r="H150" s="14">
        <f>IF(G150&gt;0,ROUND(G150*1.19,0),"")</f>
        <v/>
      </c>
      <c r="I150" s="14">
        <f>IF(H150&gt;0,ROUND(H150*0.08,0),"")</f>
        <v/>
      </c>
      <c r="J150" s="14">
        <f>IF(H150&gt;0,H150+I150,"")</f>
        <v/>
      </c>
      <c r="K150" s="14" t="n"/>
      <c r="L150" s="14" t="n"/>
      <c r="M150" s="14">
        <f>IF(AND(K150&gt;0,J150&gt;0),K150-J150,"")</f>
        <v/>
      </c>
      <c r="N150" s="14">
        <f>IF(AND(L150&gt;0,J150&gt;0),L150-J150,"")</f>
        <v/>
      </c>
      <c r="O150" s="14">
        <f>D150*K150</f>
        <v/>
      </c>
      <c r="P150" s="14">
        <f>D150*L150</f>
        <v/>
      </c>
      <c r="Q150" s="14">
        <f>IF(I150&gt;0,I150*D150,"")</f>
        <v/>
      </c>
      <c r="R150" s="14">
        <f>IF(J150&gt;0,J150*D150,"")</f>
        <v/>
      </c>
      <c r="S150" s="14">
        <f>IF(R150&gt;0,O150-R150,"")</f>
        <v/>
      </c>
      <c r="T150" s="14">
        <f>IF(R150&gt;0,P150-R150,"")</f>
        <v/>
      </c>
      <c r="U150" s="14">
        <f>ROUND((E150-G150)*D150,0)</f>
        <v/>
      </c>
    </row>
    <row r="151">
      <c r="A151" t="inlineStr">
        <is>
          <t>nan</t>
        </is>
      </c>
      <c r="B151" t="n">
        <v/>
      </c>
      <c r="C151" t="n">
        <v/>
      </c>
      <c r="D151" s="19" t="n">
        <v>0</v>
      </c>
      <c r="E151" s="14" t="inlineStr"/>
      <c r="F151" s="14">
        <f>D151*E151</f>
        <v/>
      </c>
      <c r="G151" s="14" t="n"/>
      <c r="H151" s="14">
        <f>IF(G151&gt;0,ROUND(G151*1.19,0),"")</f>
        <v/>
      </c>
      <c r="I151" s="14">
        <f>IF(H151&gt;0,ROUND(H151*0.08,0),"")</f>
        <v/>
      </c>
      <c r="J151" s="14">
        <f>IF(H151&gt;0,H151+I151,"")</f>
        <v/>
      </c>
      <c r="K151" s="14" t="n"/>
      <c r="L151" s="14" t="n"/>
      <c r="M151" s="14">
        <f>IF(AND(K151&gt;0,J151&gt;0),K151-J151,"")</f>
        <v/>
      </c>
      <c r="N151" s="14">
        <f>IF(AND(L151&gt;0,J151&gt;0),L151-J151,"")</f>
        <v/>
      </c>
      <c r="O151" s="14">
        <f>D151*K151</f>
        <v/>
      </c>
      <c r="P151" s="14">
        <f>D151*L151</f>
        <v/>
      </c>
      <c r="Q151" s="14">
        <f>IF(I151&gt;0,I151*D151,"")</f>
        <v/>
      </c>
      <c r="R151" s="14">
        <f>IF(J151&gt;0,J151*D151,"")</f>
        <v/>
      </c>
      <c r="S151" s="14">
        <f>IF(R151&gt;0,O151-R151,"")</f>
        <v/>
      </c>
      <c r="T151" s="14">
        <f>IF(R151&gt;0,P151-R151,"")</f>
        <v/>
      </c>
      <c r="U151" s="14">
        <f>ROUND((E151-G151)*D151,0)</f>
        <v/>
      </c>
    </row>
    <row r="152">
      <c r="A152" t="inlineStr">
        <is>
          <t>nan</t>
        </is>
      </c>
      <c r="B152" t="n">
        <v/>
      </c>
      <c r="C152" t="n">
        <v/>
      </c>
      <c r="D152" s="19" t="n">
        <v>0</v>
      </c>
      <c r="E152" s="14" t="inlineStr"/>
      <c r="F152" s="14">
        <f>D152*E152</f>
        <v/>
      </c>
      <c r="G152" s="14" t="n"/>
      <c r="H152" s="14">
        <f>IF(G152&gt;0,ROUND(G152*1.19,0),"")</f>
        <v/>
      </c>
      <c r="I152" s="14">
        <f>IF(H152&gt;0,ROUND(H152*0.08,0),"")</f>
        <v/>
      </c>
      <c r="J152" s="14">
        <f>IF(H152&gt;0,H152+I152,"")</f>
        <v/>
      </c>
      <c r="K152" s="14" t="n"/>
      <c r="L152" s="14" t="n"/>
      <c r="M152" s="14">
        <f>IF(AND(K152&gt;0,J152&gt;0),K152-J152,"")</f>
        <v/>
      </c>
      <c r="N152" s="14">
        <f>IF(AND(L152&gt;0,J152&gt;0),L152-J152,"")</f>
        <v/>
      </c>
      <c r="O152" s="14">
        <f>D152*K152</f>
        <v/>
      </c>
      <c r="P152" s="14">
        <f>D152*L152</f>
        <v/>
      </c>
      <c r="Q152" s="14">
        <f>IF(I152&gt;0,I152*D152,"")</f>
        <v/>
      </c>
      <c r="R152" s="14">
        <f>IF(J152&gt;0,J152*D152,"")</f>
        <v/>
      </c>
      <c r="S152" s="14">
        <f>IF(R152&gt;0,O152-R152,"")</f>
        <v/>
      </c>
      <c r="T152" s="14">
        <f>IF(R152&gt;0,P152-R152,"")</f>
        <v/>
      </c>
      <c r="U152" s="14">
        <f>ROUND((E152-G152)*D152,0)</f>
        <v/>
      </c>
    </row>
    <row r="153">
      <c r="A153" t="inlineStr">
        <is>
          <t>nan</t>
        </is>
      </c>
      <c r="B153" t="n">
        <v/>
      </c>
      <c r="C153" t="n">
        <v/>
      </c>
      <c r="D153" s="19" t="n">
        <v>0</v>
      </c>
      <c r="E153" s="14" t="inlineStr"/>
      <c r="F153" s="14">
        <f>D153*E153</f>
        <v/>
      </c>
      <c r="G153" s="14" t="n"/>
      <c r="H153" s="14">
        <f>IF(G153&gt;0,ROUND(G153*1.19,0),"")</f>
        <v/>
      </c>
      <c r="I153" s="14">
        <f>IF(H153&gt;0,ROUND(H153*0.08,0),"")</f>
        <v/>
      </c>
      <c r="J153" s="14">
        <f>IF(H153&gt;0,H153+I153,"")</f>
        <v/>
      </c>
      <c r="K153" s="14" t="n"/>
      <c r="L153" s="14" t="n"/>
      <c r="M153" s="14">
        <f>IF(AND(K153&gt;0,J153&gt;0),K153-J153,"")</f>
        <v/>
      </c>
      <c r="N153" s="14">
        <f>IF(AND(L153&gt;0,J153&gt;0),L153-J153,"")</f>
        <v/>
      </c>
      <c r="O153" s="14">
        <f>D153*K153</f>
        <v/>
      </c>
      <c r="P153" s="14">
        <f>D153*L153</f>
        <v/>
      </c>
      <c r="Q153" s="14">
        <f>IF(I153&gt;0,I153*D153,"")</f>
        <v/>
      </c>
      <c r="R153" s="14">
        <f>IF(J153&gt;0,J153*D153,"")</f>
        <v/>
      </c>
      <c r="S153" s="14">
        <f>IF(R153&gt;0,O153-R153,"")</f>
        <v/>
      </c>
      <c r="T153" s="14">
        <f>IF(R153&gt;0,P153-R153,"")</f>
        <v/>
      </c>
      <c r="U153" s="14">
        <f>ROUND((E153-G153)*D153,0)</f>
        <v/>
      </c>
    </row>
    <row r="154">
      <c r="A154" t="inlineStr">
        <is>
          <t>nan</t>
        </is>
      </c>
      <c r="B154" t="n">
        <v/>
      </c>
      <c r="C154" t="n">
        <v/>
      </c>
      <c r="D154" s="19" t="n">
        <v>0</v>
      </c>
      <c r="E154" s="14" t="inlineStr"/>
      <c r="F154" s="14">
        <f>D154*E154</f>
        <v/>
      </c>
      <c r="G154" s="14" t="n"/>
      <c r="H154" s="14">
        <f>IF(G154&gt;0,ROUND(G154*1.19,0),"")</f>
        <v/>
      </c>
      <c r="I154" s="14">
        <f>IF(H154&gt;0,ROUND(H154*0.08,0),"")</f>
        <v/>
      </c>
      <c r="J154" s="14">
        <f>IF(H154&gt;0,H154+I154,"")</f>
        <v/>
      </c>
      <c r="K154" s="14" t="n"/>
      <c r="L154" s="14" t="n"/>
      <c r="M154" s="14">
        <f>IF(AND(K154&gt;0,J154&gt;0),K154-J154,"")</f>
        <v/>
      </c>
      <c r="N154" s="14">
        <f>IF(AND(L154&gt;0,J154&gt;0),L154-J154,"")</f>
        <v/>
      </c>
      <c r="O154" s="14">
        <f>D154*K154</f>
        <v/>
      </c>
      <c r="P154" s="14">
        <f>D154*L154</f>
        <v/>
      </c>
      <c r="Q154" s="14">
        <f>IF(I154&gt;0,I154*D154,"")</f>
        <v/>
      </c>
      <c r="R154" s="14">
        <f>IF(J154&gt;0,J154*D154,"")</f>
        <v/>
      </c>
      <c r="S154" s="14">
        <f>IF(R154&gt;0,O154-R154,"")</f>
        <v/>
      </c>
      <c r="T154" s="14">
        <f>IF(R154&gt;0,P154-R154,"")</f>
        <v/>
      </c>
      <c r="U154" s="14">
        <f>ROUND((E154-G154)*D154,0)</f>
        <v/>
      </c>
    </row>
    <row r="155">
      <c r="A155" t="inlineStr">
        <is>
          <t>nan</t>
        </is>
      </c>
      <c r="B155" t="n">
        <v/>
      </c>
      <c r="C155" t="n">
        <v/>
      </c>
      <c r="D155" s="19" t="n">
        <v>0</v>
      </c>
      <c r="E155" s="14" t="inlineStr"/>
      <c r="F155" s="14">
        <f>D155*E155</f>
        <v/>
      </c>
      <c r="G155" s="14" t="n"/>
      <c r="H155" s="14">
        <f>IF(G155&gt;0,ROUND(G155*1.19,0),"")</f>
        <v/>
      </c>
      <c r="I155" s="14">
        <f>IF(H155&gt;0,ROUND(H155*0.08,0),"")</f>
        <v/>
      </c>
      <c r="J155" s="14">
        <f>IF(H155&gt;0,H155+I155,"")</f>
        <v/>
      </c>
      <c r="K155" s="14" t="n"/>
      <c r="L155" s="14" t="n"/>
      <c r="M155" s="14">
        <f>IF(AND(K155&gt;0,J155&gt;0),K155-J155,"")</f>
        <v/>
      </c>
      <c r="N155" s="14">
        <f>IF(AND(L155&gt;0,J155&gt;0),L155-J155,"")</f>
        <v/>
      </c>
      <c r="O155" s="14">
        <f>D155*K155</f>
        <v/>
      </c>
      <c r="P155" s="14">
        <f>D155*L155</f>
        <v/>
      </c>
      <c r="Q155" s="14">
        <f>IF(I155&gt;0,I155*D155,"")</f>
        <v/>
      </c>
      <c r="R155" s="14">
        <f>IF(J155&gt;0,J155*D155,"")</f>
        <v/>
      </c>
      <c r="S155" s="14">
        <f>IF(R155&gt;0,O155-R155,"")</f>
        <v/>
      </c>
      <c r="T155" s="14">
        <f>IF(R155&gt;0,P155-R155,"")</f>
        <v/>
      </c>
      <c r="U155" s="14">
        <f>ROUND((E155-G155)*D155,0)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U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/>
    </row>
    <row r="5">
      <c r="A5" s="13" t="inlineStr">
        <is>
          <t>── INVERSIÓN ──</t>
        </is>
      </c>
    </row>
    <row r="6">
      <c r="A6" t="inlineStr">
        <is>
          <t>Inversión facturas con IVA (stock)</t>
        </is>
      </c>
      <c r="B6" s="14">
        <f>SUMPRODUCT('Inventario'!H2:H155,'Inventario'!D2:D155)</f>
        <v/>
      </c>
    </row>
    <row r="7">
      <c r="A7" t="inlineStr">
        <is>
          <t>Costo real total en bodega</t>
        </is>
      </c>
      <c r="B7" s="14">
        <f>SUM('Inventario'!R2:R155)</f>
        <v/>
      </c>
    </row>
    <row r="8">
      <c r="A8" t="inlineStr">
        <is>
          <t>Fondo logística moto (stock)</t>
        </is>
      </c>
      <c r="B8" s="14">
        <f>SUM('Inventario'!Q2:Q155)</f>
        <v/>
      </c>
    </row>
    <row r="9">
      <c r="A9" t="inlineStr"/>
    </row>
    <row r="10">
      <c r="A10" s="13" t="inlineStr">
        <is>
          <t>── GANANCIA SI VENDES TODO EL STOCK ──</t>
        </is>
      </c>
    </row>
    <row r="11">
      <c r="A11" s="15" t="inlineStr">
        <is>
          <t>Ganancia total Taller</t>
        </is>
      </c>
      <c r="B11" s="16">
        <f>SUM('Inventario'!S2:S155)</f>
        <v/>
      </c>
    </row>
    <row r="12">
      <c r="A12" s="15" t="inlineStr">
        <is>
          <t>Ganancia total Público</t>
        </is>
      </c>
      <c r="B12" s="16">
        <f>SUM('Inventario'!T2:T155)</f>
        <v/>
      </c>
    </row>
    <row r="13">
      <c r="A13" t="inlineStr"/>
    </row>
    <row r="14">
      <c r="A14" s="13" t="inlineStr">
        <is>
          <t>── OTROS ──</t>
        </is>
      </c>
    </row>
    <row r="15">
      <c r="A15" t="inlineStr">
        <is>
          <t>Ahorro mayorista (reinversión)</t>
        </is>
      </c>
      <c r="B15" s="14">
        <f>SUM('Inventario'!U2:U155)</f>
        <v/>
      </c>
    </row>
    <row r="16">
      <c r="A16" t="inlineStr">
        <is>
          <t>Última actualización precios</t>
        </is>
      </c>
      <c r="B16" t="inlineStr">
        <is>
          <t>2026-06-22 19:02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2026-06-23T00:02:23Z</dcterms:modified>
</cp:coreProperties>
</file>